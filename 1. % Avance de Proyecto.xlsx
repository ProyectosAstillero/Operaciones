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saomega.sharepoint.com/sites/REPORTEDEINDICADORESASTILLERO/Documentos compartidos/General/INDICADORES 2025/4. Operaciones/"/>
    </mc:Choice>
  </mc:AlternateContent>
  <xr:revisionPtr revIDLastSave="344" documentId="13_ncr:1_{187C59E7-7DC3-4679-A2CE-F2110C97C780}" xr6:coauthVersionLast="47" xr6:coauthVersionMax="47" xr10:uidLastSave="{E351CAE6-A0FF-48D6-9301-D4943B65A9DF}"/>
  <bookViews>
    <workbookView xWindow="-110" yWindow="-110" windowWidth="19420" windowHeight="10300" firstSheet="12" activeTab="14" xr2:uid="{00000000-000D-0000-FFFF-FFFF00000000}"/>
  </bookViews>
  <sheets>
    <sheet name="NORMALIZACION " sheetId="38" r:id="rId1"/>
    <sheet name="BALANCE SCORE CARD -BSC" sheetId="3" r:id="rId2"/>
    <sheet name="PLANIFICACIÓN OBJETIVO" sheetId="25" r:id="rId3"/>
    <sheet name="Evidencia - Enero" sheetId="26" r:id="rId4"/>
    <sheet name="Evidencia - Febrero" sheetId="27" r:id="rId5"/>
    <sheet name="Evidencia - Marzo" sheetId="28" r:id="rId6"/>
    <sheet name="Evidencia - Abril" sheetId="29" r:id="rId7"/>
    <sheet name="Evidencia - Mayo" sheetId="30" r:id="rId8"/>
    <sheet name="Evidencia - Junio" sheetId="31" r:id="rId9"/>
    <sheet name="Evidencia - Julio" sheetId="32" r:id="rId10"/>
    <sheet name="Evidencia - Agosto" sheetId="33" r:id="rId11"/>
    <sheet name="Evidencia - Setiembre" sheetId="34" r:id="rId12"/>
    <sheet name="Evidencia - Octubre" sheetId="35" r:id="rId13"/>
    <sheet name="Evidencia - Noviembre" sheetId="36" r:id="rId14"/>
    <sheet name="Evidencia - Diciembre" sheetId="37" r:id="rId15"/>
  </sheets>
  <externalReferences>
    <externalReference r:id="rId16"/>
  </externalReferences>
  <definedNames>
    <definedName name="_xlnm.Print_Area" localSheetId="1">'BALANCE SCORE CARD -BSC'!$A$1:$P$59</definedName>
    <definedName name="_xlnm.Print_Area" localSheetId="2">'PLANIFICACIÓN OBJETIVO'!$A$1:$Z$32</definedName>
    <definedName name="Radius">'[1]Velocimetros '!$AK$32</definedName>
    <definedName name="_xlnm.Print_Titles" localSheetId="2">'PLANIFICACIÓN OBJETIVO'!$12:$12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7" l="1"/>
  <c r="F7" i="37"/>
  <c r="G7" i="37"/>
  <c r="G6" i="37"/>
  <c r="H6" i="37" s="1"/>
  <c r="G5" i="37"/>
  <c r="H5" i="37" s="1"/>
  <c r="G4" i="37"/>
  <c r="H4" i="36"/>
  <c r="H5" i="36" s="1"/>
  <c r="G4" i="36"/>
  <c r="G5" i="36" s="1"/>
  <c r="F5" i="36"/>
  <c r="G5" i="35"/>
  <c r="O12" i="3"/>
  <c r="F9" i="34"/>
  <c r="G9" i="34"/>
  <c r="H9" i="34"/>
  <c r="H5" i="34"/>
  <c r="H6" i="34"/>
  <c r="H8" i="34"/>
  <c r="G6" i="34"/>
  <c r="G7" i="34"/>
  <c r="H7" i="34" s="1"/>
  <c r="G8" i="34"/>
  <c r="H4" i="37" l="1"/>
  <c r="G6" i="36"/>
  <c r="G10" i="34"/>
  <c r="G8" i="37" l="1"/>
  <c r="G5" i="34"/>
  <c r="G4" i="34"/>
  <c r="H4" i="34" s="1"/>
  <c r="G5" i="33"/>
  <c r="H5" i="33" s="1"/>
  <c r="G6" i="33"/>
  <c r="H6" i="33" s="1"/>
  <c r="G7" i="33"/>
  <c r="G8" i="33"/>
  <c r="G9" i="33"/>
  <c r="G10" i="33"/>
  <c r="H10" i="33" s="1"/>
  <c r="H7" i="33"/>
  <c r="H8" i="33"/>
  <c r="H9" i="33"/>
  <c r="F11" i="33"/>
  <c r="H11" i="33" l="1"/>
  <c r="G11" i="33"/>
  <c r="G4" i="33"/>
  <c r="H4" i="33" s="1"/>
  <c r="G4" i="32"/>
  <c r="H4" i="32" s="1"/>
  <c r="F6" i="32"/>
  <c r="H8" i="31"/>
  <c r="G8" i="31"/>
  <c r="G6" i="31"/>
  <c r="H6" i="31" s="1"/>
  <c r="F8" i="31"/>
  <c r="G5" i="31"/>
  <c r="H5" i="31" s="1"/>
  <c r="G4" i="31"/>
  <c r="H4" i="31" s="1"/>
  <c r="H8" i="29"/>
  <c r="G8" i="29"/>
  <c r="H12" i="28"/>
  <c r="G12" i="28"/>
  <c r="G12" i="33" l="1"/>
  <c r="H6" i="32"/>
  <c r="G6" i="32"/>
  <c r="G9" i="31"/>
  <c r="F8" i="29"/>
  <c r="G5" i="29"/>
  <c r="H5" i="29" s="1"/>
  <c r="G4" i="29"/>
  <c r="H4" i="29" s="1"/>
  <c r="F12" i="28"/>
  <c r="G5" i="28"/>
  <c r="G6" i="28"/>
  <c r="H6" i="28" s="1"/>
  <c r="G7" i="28"/>
  <c r="G8" i="28"/>
  <c r="G9" i="28"/>
  <c r="G10" i="28"/>
  <c r="G11" i="28"/>
  <c r="H5" i="28"/>
  <c r="G7" i="32" l="1"/>
  <c r="G9" i="29"/>
  <c r="H10" i="28"/>
  <c r="G4" i="28"/>
  <c r="H4" i="28" s="1"/>
  <c r="H7" i="28"/>
  <c r="H9" i="28"/>
  <c r="H11" i="28"/>
  <c r="H8" i="28"/>
  <c r="H5" i="27"/>
  <c r="H6" i="27"/>
  <c r="H7" i="27"/>
  <c r="H8" i="27"/>
  <c r="H9" i="27"/>
  <c r="H10" i="27"/>
  <c r="H11" i="27"/>
  <c r="H4" i="27"/>
  <c r="G12" i="27"/>
  <c r="F12" i="27"/>
  <c r="H5" i="26"/>
  <c r="H6" i="26"/>
  <c r="H4" i="26"/>
  <c r="H7" i="26"/>
  <c r="F7" i="26"/>
  <c r="H12" i="27" l="1"/>
  <c r="G13" i="27" s="1"/>
  <c r="G13" i="28" l="1"/>
  <c r="G7" i="26"/>
  <c r="G8" i="26"/>
  <c r="V17" i="25" l="1"/>
  <c r="U17" i="25"/>
  <c r="T17" i="25"/>
  <c r="S17" i="25"/>
  <c r="V19" i="25"/>
  <c r="U19" i="25"/>
  <c r="T19" i="25"/>
  <c r="S19" i="25"/>
  <c r="V15" i="25"/>
  <c r="U15" i="25"/>
  <c r="T15" i="25"/>
  <c r="S15" i="25"/>
  <c r="W17" i="25" l="1"/>
  <c r="W19" i="25"/>
  <c r="W15" i="25"/>
  <c r="T13" i="25" l="1"/>
  <c r="V27" i="25" l="1"/>
  <c r="U27" i="25"/>
  <c r="T27" i="25"/>
  <c r="S27" i="25"/>
  <c r="V25" i="25"/>
  <c r="U25" i="25"/>
  <c r="T25" i="25"/>
  <c r="S25" i="25"/>
  <c r="V23" i="25"/>
  <c r="U23" i="25"/>
  <c r="T23" i="25"/>
  <c r="S23" i="25"/>
  <c r="V21" i="25"/>
  <c r="U21" i="25"/>
  <c r="T21" i="25"/>
  <c r="S21" i="25"/>
  <c r="V13" i="25"/>
  <c r="U13" i="25"/>
  <c r="S13" i="25"/>
  <c r="W13" i="25" l="1"/>
  <c r="W23" i="25"/>
  <c r="W27" i="25"/>
  <c r="W21" i="25"/>
  <c r="W25" i="25"/>
  <c r="W29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FGAJARDO</author>
  </authors>
  <commentList>
    <comment ref="G21" authorId="0" shapeId="0" xr:uid="{3A308906-9D41-4038-B4CE-3BAEFE5BA97B}">
      <text>
        <r>
          <rPr>
            <b/>
            <sz val="9"/>
            <color indexed="81"/>
            <rFont val="Tahoma"/>
            <family val="2"/>
          </rPr>
          <t>Fuente de los datos y/o método de cálculo de los mismos.</t>
        </r>
      </text>
    </comment>
  </commentList>
</comments>
</file>

<file path=xl/sharedStrings.xml><?xml version="1.0" encoding="utf-8"?>
<sst xmlns="http://schemas.openxmlformats.org/spreadsheetml/2006/main" count="467" uniqueCount="197">
  <si>
    <t>% AVANCE DE PROYECTO</t>
  </si>
  <si>
    <t>SUBGERENCIA:</t>
  </si>
  <si>
    <t>Astillero</t>
  </si>
  <si>
    <t>ELABORADO POR:</t>
  </si>
  <si>
    <t>Jefe de Operaciones / Asistente de Operaciones</t>
  </si>
  <si>
    <t>F. ELAB.</t>
  </si>
  <si>
    <t>VERSIÓN N°</t>
  </si>
  <si>
    <t>ÁREA:</t>
  </si>
  <si>
    <t>Operaciones</t>
  </si>
  <si>
    <t>APROBADO POR:</t>
  </si>
  <si>
    <t>Subgerente de Astillero</t>
  </si>
  <si>
    <t>F. APROB.</t>
  </si>
  <si>
    <t>1. OBJETIVOS</t>
  </si>
  <si>
    <t>1.1 Velar por el cumplimiento de los plazos establecidos para la ejecucion del proyecto
1.2 Disminuir  el % de proyectos que no cumplan el límite establecido de retraso de acuerdo a la fecha señalada en el cronograma.
1.3 Permitirá identificar los factores que impiden cumplir con los plazos establecidos.
1.4 Es un indicador que mide la efectividad del proceso de Operaciones.</t>
  </si>
  <si>
    <t>1.1 Expresión Conceptual:</t>
  </si>
  <si>
    <t>Relación del numero total de días de estadía de los proyectos y el numero total de días de atraso de proyectos entre el numero total de días de estadía de los proyectos.</t>
  </si>
  <si>
    <t>1.2 Expresión Matemática:</t>
  </si>
  <si>
    <t>3. NIVELES DE REFERENCIA</t>
  </si>
  <si>
    <t>4. SUB-DIVISIONES</t>
  </si>
  <si>
    <t>Histórico (últimos 05 años):</t>
  </si>
  <si>
    <t>Promedio: 94.28%
Máximo: 97.90%
Mínimo: 92.30%</t>
  </si>
  <si>
    <t>Tipos de proyectos</t>
  </si>
  <si>
    <t>Por tipo de clientes</t>
  </si>
  <si>
    <t>Propios</t>
  </si>
  <si>
    <t>Estándar:</t>
  </si>
  <si>
    <t>≥ 91%</t>
  </si>
  <si>
    <t>Terceros</t>
  </si>
  <si>
    <t>Planificado (Meta):</t>
  </si>
  <si>
    <t>&gt;94%</t>
  </si>
  <si>
    <t>Por tipo de casco</t>
  </si>
  <si>
    <t>Acero</t>
  </si>
  <si>
    <t>Competencia:</t>
  </si>
  <si>
    <t>N/D</t>
  </si>
  <si>
    <t>Madera</t>
  </si>
  <si>
    <t>Estado del Arte:</t>
  </si>
  <si>
    <t>Por tipo de embarcación</t>
  </si>
  <si>
    <t>Pesquera</t>
  </si>
  <si>
    <t>Multipropósitos</t>
  </si>
  <si>
    <t>Auxiliares</t>
  </si>
  <si>
    <t>5. CONSIDERACIONES DE GESTIÓN</t>
  </si>
  <si>
    <t>6. INFORMACIÓN Y DATOS</t>
  </si>
  <si>
    <t>3.1 Semaforización:</t>
  </si>
  <si>
    <t xml:space="preserve">Fuente de información: Reporte de control de avance del área de Control de proyectos.     
El levantamiento de la información es por: Evento.      
El análisis del cumplimiento se hace de forma mensual.      
El Supervisor de Proyectos y el Asistente de operaciones consolidan la información.    </t>
  </si>
  <si>
    <t xml:space="preserve">&gt; 94% </t>
  </si>
  <si>
    <t xml:space="preserve"> ≥83% y &lt;93%</t>
  </si>
  <si>
    <t>&lt; 83%</t>
  </si>
  <si>
    <t>3.2 Periodicidad:</t>
  </si>
  <si>
    <t>Mensual</t>
  </si>
  <si>
    <t>3.3 Responsables:</t>
  </si>
  <si>
    <t>del cálculo:</t>
  </si>
  <si>
    <t>Jefe de Operaciones / Supervisor de Proyectos / Asistente de Operaciones</t>
  </si>
  <si>
    <t>del análisis y plan de acción:</t>
  </si>
  <si>
    <t>7. ÁRBOL DE FACTORES Y NIVELES DE RESPONSABILIDAD</t>
  </si>
  <si>
    <t>OBJETIVO</t>
  </si>
  <si>
    <t>Velar por el cumplimiento de los plazos establecidos para la ejecucion del proyecto</t>
  </si>
  <si>
    <t>FORMULA DE CALCULO</t>
  </si>
  <si>
    <t>FUENTE DE INFORMACIÓN</t>
  </si>
  <si>
    <t>Reporte de control de avance de cada proyecto.</t>
  </si>
  <si>
    <t>RESPONSABLES</t>
  </si>
  <si>
    <t>Jefe de Operaciones</t>
  </si>
  <si>
    <t>FRECUENCIA DE MEDICIÓN</t>
  </si>
  <si>
    <t>UNIDAD DE MEDIDA</t>
  </si>
  <si>
    <t>Porcentaje (%)</t>
  </si>
  <si>
    <t>MES DE REPORTE</t>
  </si>
  <si>
    <t>Setiembre</t>
  </si>
  <si>
    <t>REPRESENTACIÓN DEL INDICADOR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</si>
  <si>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</si>
  <si>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</si>
  <si>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</si>
  <si>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</si>
  <si>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</si>
  <si>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</si>
  <si>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</si>
  <si>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</si>
  <si>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</si>
  <si>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</si>
  <si>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</si>
  <si>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</si>
  <si>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</si>
  <si>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</t>
  </si>
  <si>
    <t>REAL</t>
  </si>
  <si>
    <t>X &gt; 94%</t>
  </si>
  <si>
    <t xml:space="preserve"> ≥ 83% X &lt;93%</t>
  </si>
  <si>
    <t>X &lt; 83%</t>
  </si>
  <si>
    <t>ANALISIS DESVIACION DEL INDICADOR</t>
  </si>
  <si>
    <t>N° SAC</t>
  </si>
  <si>
    <t>CAUSA RAIZ</t>
  </si>
  <si>
    <t xml:space="preserve">ACCIONES </t>
  </si>
  <si>
    <t>RESPONSABLE</t>
  </si>
  <si>
    <t>FECHA DE IMPLEMENTACION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</si>
  <si>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</si>
  <si>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</si>
  <si>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</si>
  <si>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</si>
  <si>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</si>
  <si>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</si>
  <si>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</si>
  <si>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</si>
  <si>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</si>
  <si>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</si>
  <si>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</si>
  <si>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r>
      <rPr>
        <b/>
        <sz val="10"/>
        <rFont val="Century Gothic"/>
        <family val="2"/>
      </rPr>
      <t xml:space="preserve">NOTA:
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 xml:space="preserve">* </t>
    </r>
    <r>
      <rPr>
        <sz val="10"/>
        <rFont val="Century Gothic"/>
        <family val="2"/>
      </rPr>
      <t xml:space="preserve">El cuadro de </t>
    </r>
    <r>
      <rPr>
        <b/>
        <sz val="10"/>
        <rFont val="Century Gothic"/>
        <family val="2"/>
      </rPr>
      <t>ANALISIS DE DESVIACIÓN DEL INDICADOR</t>
    </r>
    <r>
      <rPr>
        <sz val="10"/>
        <rFont val="Century Gothic"/>
        <family val="2"/>
      </rPr>
      <t xml:space="preserve">, se llenará en caso el indicador se encuentre en </t>
    </r>
    <r>
      <rPr>
        <b/>
        <sz val="10"/>
        <color rgb="FFFF0000"/>
        <rFont val="Century Gothic"/>
        <family val="2"/>
      </rPr>
      <t>ROJO</t>
    </r>
    <r>
      <rPr>
        <sz val="10"/>
        <rFont val="Century Gothic"/>
        <family val="2"/>
      </rPr>
      <t xml:space="preserve"> / </t>
    </r>
    <r>
      <rPr>
        <b/>
        <sz val="10"/>
        <color rgb="FFFFC000"/>
        <rFont val="Century Gothic"/>
        <family val="2"/>
      </rPr>
      <t xml:space="preserve">AMARILLO. </t>
    </r>
    <r>
      <rPr>
        <sz val="10"/>
        <rFont val="Century Gothic"/>
        <family val="2"/>
      </rPr>
      <t xml:space="preserve">Se asignará una SAC para el análisis de la causa raíz y planteamiento de las acciones correctivas correspondientes en caso se tengan 03 meses consecutivos en caso el indicador se encuentre el </t>
    </r>
    <r>
      <rPr>
        <b/>
        <sz val="10"/>
        <color rgb="FFFFC000"/>
        <rFont val="Century Gothic"/>
        <family val="2"/>
      </rPr>
      <t>AMARILLO</t>
    </r>
    <r>
      <rPr>
        <sz val="10"/>
        <rFont val="Century Gothic"/>
        <family val="2"/>
      </rPr>
      <t xml:space="preserve"> o en </t>
    </r>
    <r>
      <rPr>
        <b/>
        <sz val="10"/>
        <color rgb="FFFF0000"/>
        <rFont val="Century Gothic"/>
        <family val="2"/>
      </rPr>
      <t>ROJO</t>
    </r>
    <r>
      <rPr>
        <sz val="10"/>
        <rFont val="Century Gothic"/>
        <family val="2"/>
      </rPr>
      <t xml:space="preserve">. En caso excepcional, puede aperturarse una SAC en caso el dueño del proceso y/o subgerencia de astillero lo considere necesario.
</t>
    </r>
    <r>
      <rPr>
        <b/>
        <sz val="10"/>
        <rFont val="Century Gothic"/>
        <family val="2"/>
      </rPr>
      <t>*</t>
    </r>
    <r>
      <rPr>
        <sz val="10"/>
        <rFont val="Century Gothic"/>
        <family val="2"/>
      </rPr>
      <t xml:space="preserve"> Cuando no se reporten datos en el mes se pintara el recuadro de color </t>
    </r>
    <r>
      <rPr>
        <b/>
        <sz val="10"/>
        <color rgb="FF00B0F0"/>
        <rFont val="Century Gothic"/>
        <family val="2"/>
      </rPr>
      <t xml:space="preserve">CELESTE                        </t>
    </r>
    <r>
      <rPr>
        <sz val="10"/>
        <rFont val="Century Gothic"/>
        <family val="2"/>
      </rPr>
      <t xml:space="preserve">.
</t>
    </r>
  </si>
  <si>
    <t>PLANIFICACION DE OBJETIVOS</t>
  </si>
  <si>
    <t>P</t>
  </si>
  <si>
    <t>E</t>
  </si>
  <si>
    <t xml:space="preserve"> </t>
  </si>
  <si>
    <t>R</t>
  </si>
  <si>
    <t>Objetivo</t>
  </si>
  <si>
    <t>N</t>
  </si>
  <si>
    <t>Descripción</t>
  </si>
  <si>
    <t>Formula</t>
  </si>
  <si>
    <t>Meta</t>
  </si>
  <si>
    <t>&gt; 94%</t>
  </si>
  <si>
    <t>Frecuencia</t>
  </si>
  <si>
    <t>Presupuesto / Recursos</t>
  </si>
  <si>
    <t>CeCo del Área Operaciones; 01 Jefe de Operaciones; 01 Asistente de Operaciones; 02 Supervisor de Proyectos; 01 Supervisor de maniobras; laptop; Desktop; impresora; celulares; EPPs</t>
  </si>
  <si>
    <t>Área</t>
  </si>
  <si>
    <t>Dueño de Proceso</t>
  </si>
  <si>
    <t>Jefe de operaciones</t>
  </si>
  <si>
    <t>Nº</t>
  </si>
  <si>
    <t>Descripción de la actividad</t>
  </si>
  <si>
    <t>Responsable de la ejecución</t>
  </si>
  <si>
    <t>AÑO 2025</t>
  </si>
  <si>
    <t>Fecha de Verificación</t>
  </si>
  <si>
    <t>Cumplimiento</t>
  </si>
  <si>
    <t xml:space="preserve">% de cumplimiento </t>
  </si>
  <si>
    <t xml:space="preserve">Estado </t>
  </si>
  <si>
    <t>Observaciones</t>
  </si>
  <si>
    <t>F</t>
  </si>
  <si>
    <t>M</t>
  </si>
  <si>
    <t>A</t>
  </si>
  <si>
    <t>J</t>
  </si>
  <si>
    <t>S</t>
  </si>
  <si>
    <t>O</t>
  </si>
  <si>
    <t>D</t>
  </si>
  <si>
    <t>Prog.</t>
  </si>
  <si>
    <t>Repro.</t>
  </si>
  <si>
    <t xml:space="preserve">Ejec. </t>
  </si>
  <si>
    <t>No Ejec.</t>
  </si>
  <si>
    <t xml:space="preserve">Reuniones diarias de coordinación de trabajos de los proyectos en ejecución con el personal involucrado.
</t>
  </si>
  <si>
    <t>Supervisor de Proyectos</t>
  </si>
  <si>
    <t>Inspección en campo de cada proyecto</t>
  </si>
  <si>
    <t>Reportar vía correo electrónico los retrasos generados durante la ejecución de los proyectos por parte de otras áreas( Logística, Almacen, Diseño, Control de calidad y otros)</t>
  </si>
  <si>
    <t>Actualización de los cronogramas de los proyectos máximo hasta los días sábados, con la finalidad que el reporte de control de proyectos se haga con el cronograma actualizado</t>
  </si>
  <si>
    <t>Revisión de reporte de control de avance de producción</t>
  </si>
  <si>
    <t xml:space="preserve">Total </t>
  </si>
  <si>
    <t>ITEM</t>
  </si>
  <si>
    <t>EMBARCACION</t>
  </si>
  <si>
    <t>Al cierre de Enero</t>
  </si>
  <si>
    <t>Fecha de
inicio de módulo</t>
  </si>
  <si>
    <t>Fecha de
termino S/C</t>
  </si>
  <si>
    <t>Fecha de
Desvarado Real</t>
  </si>
  <si>
    <t>Dias de
atraso</t>
  </si>
  <si>
    <t>Dias de
estadia</t>
  </si>
  <si>
    <t>EP MODESTO 8</t>
  </si>
  <si>
    <t>CHATA FERROLES 4</t>
  </si>
  <si>
    <t>REM TRITON</t>
  </si>
  <si>
    <t>TOTAL</t>
  </si>
  <si>
    <t>% DE CUMPLIMIENTO</t>
  </si>
  <si>
    <t>Al cierre de Febrero</t>
  </si>
  <si>
    <t xml:space="preserve">Fecha de
inicio </t>
  </si>
  <si>
    <t>EP TASA 412</t>
  </si>
  <si>
    <t>CHATA CALLAO</t>
  </si>
  <si>
    <t>EP TASA 310</t>
  </si>
  <si>
    <t>EP TASA 418</t>
  </si>
  <si>
    <t>CHATA SUPE</t>
  </si>
  <si>
    <t>EP TASA 17</t>
  </si>
  <si>
    <t>Al cierre de Marzo</t>
  </si>
  <si>
    <t>TERESA</t>
  </si>
  <si>
    <t>MACABI 9</t>
  </si>
  <si>
    <t>Al cierre de Abril</t>
  </si>
  <si>
    <t>Nota: En este mes no se tubo proyectos</t>
  </si>
  <si>
    <t>Al cierre de junio</t>
  </si>
  <si>
    <t>RM CUAJONE</t>
  </si>
  <si>
    <t>SIMY 3</t>
  </si>
  <si>
    <t>RM NYLAM</t>
  </si>
  <si>
    <t>Al cierre de julio</t>
  </si>
  <si>
    <t>RM TIBURON 2</t>
  </si>
  <si>
    <t>Al cierre de agosto</t>
  </si>
  <si>
    <t>RIMAC</t>
  </si>
  <si>
    <t>CH PISCO</t>
  </si>
  <si>
    <t>TIBURON 9</t>
  </si>
  <si>
    <t>AURELIA</t>
  </si>
  <si>
    <t>TASA 35</t>
  </si>
  <si>
    <t>TASA 34</t>
  </si>
  <si>
    <t>CH EXALMAR</t>
  </si>
  <si>
    <t>Al cierre de Septiembre</t>
  </si>
  <si>
    <t>DON MILTON</t>
  </si>
  <si>
    <t>MODESTO 7</t>
  </si>
  <si>
    <t>MODESTO 9</t>
  </si>
  <si>
    <t>Al cierre de Octubre</t>
  </si>
  <si>
    <t>Nota: No hay avances de proyectos que reportar al fin de mes, todos desvararon</t>
  </si>
  <si>
    <t>Al cierre de Noviembre</t>
  </si>
  <si>
    <t>REM HUARI</t>
  </si>
  <si>
    <t>Al cierre de Diciembre</t>
  </si>
  <si>
    <t>SAMA 1(MODIFICACION)</t>
  </si>
  <si>
    <t>TASA 111(DESGUACE)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</si>
</sst>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(* #,##0.00_);_(* \(#,##0.00\);_(* &quot;-&quot;??_);_(@_)"/>
    <numFmt numFmtId="166" formatCode="0.0"/>
    <numFmt numFmtId="167" formatCode="_(* #,##0.0_);_(* \(#,##0.0\);_(* &quot;-&quot;??_);_(@_)"/>
  </numFmts>
  <fonts count="51">
    <font>
      <sz val="10"/>
      <name val="Arial"/>
    </font>
    <font>
      <b/>
      <sz val="2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0"/>
      <name val="TheSansCorrespondence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indexed="12"/>
      <name val="Arial"/>
      <family val="2"/>
    </font>
    <font>
      <sz val="10"/>
      <name val="Tahoma"/>
      <family val="2"/>
    </font>
    <font>
      <b/>
      <sz val="12"/>
      <color theme="1"/>
      <name val="MS Reference Sans Serif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u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4"/>
      <name val="Century Gothic"/>
      <family val="2"/>
    </font>
    <font>
      <sz val="12"/>
      <color indexed="55"/>
      <name val="Century Gothic"/>
      <family val="2"/>
    </font>
    <font>
      <sz val="12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rgb="FFFF0000"/>
      <name val="Century Gothic"/>
      <family val="2"/>
    </font>
    <font>
      <b/>
      <sz val="12"/>
      <color indexed="12"/>
      <name val="Century Gothic"/>
      <family val="2"/>
    </font>
    <font>
      <b/>
      <u/>
      <sz val="12"/>
      <color indexed="12"/>
      <name val="Century Gothic"/>
      <family val="2"/>
    </font>
    <font>
      <b/>
      <sz val="12"/>
      <color theme="1"/>
      <name val="Century Gothic"/>
      <family val="2"/>
    </font>
    <font>
      <sz val="12"/>
      <color indexed="12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C000"/>
      <name val="Century Gothic"/>
      <family val="2"/>
    </font>
    <font>
      <b/>
      <sz val="10"/>
      <color rgb="FF00B0F0"/>
      <name val="Century Gothic"/>
      <family val="2"/>
    </font>
    <font>
      <b/>
      <sz val="14"/>
      <color theme="1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sz val="8"/>
      <name val="Arial"/>
      <family val="2"/>
    </font>
    <font>
      <b/>
      <sz val="36"/>
      <color theme="1"/>
      <name val="Century Gothic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0"/>
      <color theme="0"/>
      <name val="Arial"/>
      <family val="2"/>
    </font>
    <font>
      <b/>
      <i/>
      <sz val="12"/>
      <name val="Century Gothic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0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0" fontId="8" fillId="0" borderId="0"/>
    <xf numFmtId="165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383">
    <xf numFmtId="0" fontId="0" fillId="0" borderId="0" xfId="0"/>
    <xf numFmtId="0" fontId="1" fillId="0" borderId="0" xfId="0" applyFont="1" applyAlignment="1">
      <alignment vertical="center"/>
    </xf>
    <xf numFmtId="0" fontId="0" fillId="0" borderId="13" xfId="0" applyBorder="1"/>
    <xf numFmtId="0" fontId="3" fillId="0" borderId="0" xfId="0" applyFont="1"/>
    <xf numFmtId="0" fontId="5" fillId="0" borderId="0" xfId="0" applyFont="1"/>
    <xf numFmtId="0" fontId="7" fillId="3" borderId="0" xfId="2" applyFont="1" applyFill="1" applyAlignment="1">
      <alignment horizontal="center"/>
    </xf>
    <xf numFmtId="0" fontId="7" fillId="3" borderId="0" xfId="2" applyFont="1" applyFill="1"/>
    <xf numFmtId="0" fontId="5" fillId="0" borderId="13" xfId="0" applyFont="1" applyBorder="1"/>
    <xf numFmtId="0" fontId="9" fillId="3" borderId="0" xfId="2" applyFont="1" applyFill="1" applyAlignment="1">
      <alignment horizontal="left" vertical="center" wrapText="1"/>
    </xf>
    <xf numFmtId="0" fontId="10" fillId="3" borderId="0" xfId="2" applyFont="1" applyFill="1" applyAlignment="1">
      <alignment horizontal="center" vertical="center" wrapText="1"/>
    </xf>
    <xf numFmtId="166" fontId="9" fillId="3" borderId="0" xfId="2" applyNumberFormat="1" applyFont="1" applyFill="1" applyAlignment="1">
      <alignment horizontal="center" vertical="center" wrapText="1"/>
    </xf>
    <xf numFmtId="0" fontId="9" fillId="3" borderId="0" xfId="2" applyFont="1" applyFill="1" applyAlignment="1">
      <alignment horizontal="center" vertical="center" wrapText="1"/>
    </xf>
    <xf numFmtId="0" fontId="9" fillId="3" borderId="0" xfId="3" applyFont="1" applyFill="1" applyAlignment="1">
      <alignment horizontal="left" vertical="center" wrapText="1"/>
    </xf>
    <xf numFmtId="0" fontId="9" fillId="3" borderId="0" xfId="3" applyFont="1" applyFill="1" applyAlignment="1">
      <alignment horizontal="center" vertical="center" wrapText="1"/>
    </xf>
    <xf numFmtId="0" fontId="5" fillId="4" borderId="0" xfId="2" applyFont="1" applyFill="1" applyAlignment="1">
      <alignment horizontal="center"/>
    </xf>
    <xf numFmtId="0" fontId="9" fillId="3" borderId="0" xfId="2" applyFont="1" applyFill="1" applyAlignment="1">
      <alignment horizontal="center"/>
    </xf>
    <xf numFmtId="0" fontId="9" fillId="3" borderId="0" xfId="2" applyFont="1" applyFill="1"/>
    <xf numFmtId="0" fontId="5" fillId="4" borderId="0" xfId="2" applyFont="1" applyFill="1"/>
    <xf numFmtId="0" fontId="11" fillId="4" borderId="0" xfId="2" applyFont="1" applyFill="1" applyAlignment="1">
      <alignment vertical="center"/>
    </xf>
    <xf numFmtId="0" fontId="11" fillId="4" borderId="0" xfId="2" applyFont="1" applyFill="1" applyAlignment="1">
      <alignment vertical="center" wrapText="1"/>
    </xf>
    <xf numFmtId="0" fontId="6" fillId="5" borderId="0" xfId="2" applyFont="1" applyFill="1" applyAlignment="1">
      <alignment horizontal="center" vertical="center" wrapText="1"/>
    </xf>
    <xf numFmtId="0" fontId="6" fillId="5" borderId="0" xfId="2" applyFont="1" applyFill="1" applyAlignment="1">
      <alignment horizontal="left" vertical="center" wrapText="1"/>
    </xf>
    <xf numFmtId="0" fontId="6" fillId="4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horizontal="left" vertical="center" wrapText="1"/>
    </xf>
    <xf numFmtId="0" fontId="6" fillId="4" borderId="0" xfId="2" applyFont="1" applyFill="1"/>
    <xf numFmtId="4" fontId="5" fillId="4" borderId="0" xfId="2" applyNumberFormat="1" applyFont="1" applyFill="1"/>
    <xf numFmtId="17" fontId="5" fillId="4" borderId="0" xfId="2" applyNumberFormat="1" applyFont="1" applyFill="1" applyAlignment="1">
      <alignment horizontal="center"/>
    </xf>
    <xf numFmtId="167" fontId="5" fillId="0" borderId="0" xfId="4" applyNumberFormat="1" applyFont="1" applyFill="1" applyBorder="1" applyAlignment="1">
      <alignment horizontal="center"/>
    </xf>
    <xf numFmtId="164" fontId="6" fillId="0" borderId="0" xfId="5" applyFont="1" applyFill="1" applyBorder="1" applyAlignment="1">
      <alignment horizontal="center"/>
    </xf>
    <xf numFmtId="3" fontId="5" fillId="3" borderId="0" xfId="4" applyNumberFormat="1" applyFont="1" applyFill="1" applyBorder="1" applyAlignment="1">
      <alignment horizontal="center"/>
    </xf>
    <xf numFmtId="0" fontId="2" fillId="4" borderId="12" xfId="3" applyFont="1" applyFill="1" applyBorder="1" applyAlignment="1">
      <alignment horizontal="left" vertical="center" wrapText="1"/>
    </xf>
    <xf numFmtId="0" fontId="9" fillId="3" borderId="13" xfId="3" applyFont="1" applyFill="1" applyBorder="1" applyAlignment="1">
      <alignment horizontal="center" vertical="center" wrapText="1"/>
    </xf>
    <xf numFmtId="0" fontId="2" fillId="4" borderId="12" xfId="2" applyFill="1" applyBorder="1"/>
    <xf numFmtId="0" fontId="5" fillId="4" borderId="0" xfId="2" applyFont="1" applyFill="1" applyAlignment="1">
      <alignment horizontal="left"/>
    </xf>
    <xf numFmtId="0" fontId="9" fillId="3" borderId="13" xfId="2" applyFont="1" applyFill="1" applyBorder="1" applyAlignment="1">
      <alignment horizontal="center"/>
    </xf>
    <xf numFmtId="0" fontId="5" fillId="0" borderId="0" xfId="2" applyFont="1"/>
    <xf numFmtId="0" fontId="5" fillId="4" borderId="13" xfId="2" applyFont="1" applyFill="1" applyBorder="1" applyAlignment="1">
      <alignment horizontal="center"/>
    </xf>
    <xf numFmtId="0" fontId="5" fillId="5" borderId="0" xfId="2" applyFont="1" applyFill="1" applyAlignment="1">
      <alignment horizontal="left" vertical="center" wrapText="1"/>
    </xf>
    <xf numFmtId="0" fontId="2" fillId="5" borderId="12" xfId="2" applyFill="1" applyBorder="1" applyAlignment="1">
      <alignment horizontal="left" vertical="center" wrapText="1"/>
    </xf>
    <xf numFmtId="0" fontId="2" fillId="4" borderId="14" xfId="2" applyFill="1" applyBorder="1"/>
    <xf numFmtId="0" fontId="5" fillId="4" borderId="16" xfId="2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20" xfId="0" applyFont="1" applyBorder="1"/>
    <xf numFmtId="0" fontId="14" fillId="0" borderId="21" xfId="0" applyFont="1" applyBorder="1"/>
    <xf numFmtId="0" fontId="14" fillId="0" borderId="12" xfId="0" applyFont="1" applyBorder="1"/>
    <xf numFmtId="0" fontId="17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8" fillId="0" borderId="0" xfId="0" applyFont="1"/>
    <xf numFmtId="0" fontId="18" fillId="0" borderId="15" xfId="0" applyFont="1" applyBorder="1"/>
    <xf numFmtId="0" fontId="14" fillId="0" borderId="18" xfId="0" applyFont="1" applyBorder="1"/>
    <xf numFmtId="0" fontId="20" fillId="4" borderId="12" xfId="2" applyFont="1" applyFill="1" applyBorder="1" applyAlignment="1">
      <alignment horizontal="left" vertical="center" wrapText="1"/>
    </xf>
    <xf numFmtId="1" fontId="14" fillId="4" borderId="0" xfId="3" applyNumberFormat="1" applyFont="1" applyFill="1" applyAlignment="1">
      <alignment horizontal="left" vertical="top"/>
    </xf>
    <xf numFmtId="0" fontId="21" fillId="4" borderId="0" xfId="3" applyFont="1" applyFill="1" applyAlignment="1">
      <alignment horizontal="center" vertical="center"/>
    </xf>
    <xf numFmtId="0" fontId="14" fillId="4" borderId="0" xfId="3" applyFont="1" applyFill="1" applyAlignment="1">
      <alignment horizontal="center" vertical="center"/>
    </xf>
    <xf numFmtId="0" fontId="22" fillId="3" borderId="0" xfId="2" applyFont="1" applyFill="1" applyAlignment="1">
      <alignment horizontal="left" vertical="center" wrapText="1"/>
    </xf>
    <xf numFmtId="0" fontId="23" fillId="3" borderId="0" xfId="2" applyFont="1" applyFill="1" applyAlignment="1">
      <alignment horizontal="center" vertical="center" wrapText="1"/>
    </xf>
    <xf numFmtId="166" fontId="22" fillId="3" borderId="0" xfId="2" applyNumberFormat="1" applyFont="1" applyFill="1" applyAlignment="1">
      <alignment horizontal="center" vertical="center" wrapText="1"/>
    </xf>
    <xf numFmtId="0" fontId="22" fillId="3" borderId="13" xfId="2" applyFont="1" applyFill="1" applyBorder="1" applyAlignment="1">
      <alignment horizontal="center" vertical="center" wrapText="1"/>
    </xf>
    <xf numFmtId="0" fontId="18" fillId="4" borderId="12" xfId="3" applyFont="1" applyFill="1" applyBorder="1" applyAlignment="1">
      <alignment horizontal="left" vertical="center" wrapText="1"/>
    </xf>
    <xf numFmtId="0" fontId="25" fillId="4" borderId="0" xfId="3" applyFont="1" applyFill="1" applyAlignment="1">
      <alignment horizontal="left" vertical="center" wrapText="1"/>
    </xf>
    <xf numFmtId="0" fontId="26" fillId="4" borderId="0" xfId="3" applyFont="1" applyFill="1" applyAlignment="1">
      <alignment horizontal="left" vertical="center" wrapText="1"/>
    </xf>
    <xf numFmtId="0" fontId="25" fillId="4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3" fillId="3" borderId="0" xfId="3" applyFont="1" applyFill="1" applyAlignment="1">
      <alignment horizontal="left" vertical="center" wrapText="1"/>
    </xf>
    <xf numFmtId="0" fontId="22" fillId="3" borderId="13" xfId="3" applyFont="1" applyFill="1" applyBorder="1" applyAlignment="1">
      <alignment horizontal="center" vertical="center" wrapText="1"/>
    </xf>
    <xf numFmtId="0" fontId="14" fillId="4" borderId="0" xfId="2" applyFont="1" applyFill="1"/>
    <xf numFmtId="0" fontId="14" fillId="4" borderId="0" xfId="2" applyFont="1" applyFill="1" applyAlignment="1">
      <alignment horizontal="left"/>
    </xf>
    <xf numFmtId="0" fontId="14" fillId="4" borderId="0" xfId="2" applyFont="1" applyFill="1" applyAlignment="1">
      <alignment horizontal="center"/>
    </xf>
    <xf numFmtId="166" fontId="16" fillId="4" borderId="31" xfId="2" applyNumberFormat="1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vertical="center" wrapText="1"/>
    </xf>
    <xf numFmtId="0" fontId="14" fillId="5" borderId="0" xfId="2" applyFont="1" applyFill="1" applyAlignment="1">
      <alignment horizontal="left" vertical="center" wrapText="1"/>
    </xf>
    <xf numFmtId="0" fontId="14" fillId="4" borderId="0" xfId="2" applyFont="1" applyFill="1" applyAlignment="1">
      <alignment horizontal="left" vertical="center" wrapText="1"/>
    </xf>
    <xf numFmtId="4" fontId="14" fillId="4" borderId="0" xfId="2" applyNumberFormat="1" applyFont="1" applyFill="1"/>
    <xf numFmtId="17" fontId="14" fillId="4" borderId="0" xfId="2" applyNumberFormat="1" applyFont="1" applyFill="1" applyAlignment="1">
      <alignment horizontal="center"/>
    </xf>
    <xf numFmtId="167" fontId="14" fillId="0" borderId="0" xfId="4" applyNumberFormat="1" applyFont="1" applyFill="1" applyBorder="1" applyAlignment="1">
      <alignment horizontal="center"/>
    </xf>
    <xf numFmtId="167" fontId="28" fillId="0" borderId="0" xfId="4" applyNumberFormat="1" applyFont="1" applyFill="1" applyBorder="1" applyAlignment="1">
      <alignment horizontal="center"/>
    </xf>
    <xf numFmtId="0" fontId="19" fillId="4" borderId="0" xfId="2" applyFont="1" applyFill="1"/>
    <xf numFmtId="0" fontId="18" fillId="4" borderId="0" xfId="2" applyFont="1" applyFill="1"/>
    <xf numFmtId="0" fontId="18" fillId="4" borderId="0" xfId="2" applyFont="1" applyFill="1" applyAlignment="1">
      <alignment horizontal="left"/>
    </xf>
    <xf numFmtId="0" fontId="18" fillId="4" borderId="0" xfId="2" applyFont="1" applyFill="1" applyAlignment="1">
      <alignment horizontal="center"/>
    </xf>
    <xf numFmtId="0" fontId="14" fillId="0" borderId="0" xfId="2" applyFont="1" applyAlignment="1">
      <alignment horizontal="left" wrapText="1"/>
    </xf>
    <xf numFmtId="0" fontId="15" fillId="4" borderId="15" xfId="2" applyFont="1" applyFill="1" applyBorder="1"/>
    <xf numFmtId="0" fontId="14" fillId="4" borderId="15" xfId="2" applyFont="1" applyFill="1" applyBorder="1"/>
    <xf numFmtId="0" fontId="14" fillId="4" borderId="15" xfId="2" applyFont="1" applyFill="1" applyBorder="1" applyAlignment="1">
      <alignment horizontal="left"/>
    </xf>
    <xf numFmtId="0" fontId="14" fillId="4" borderId="15" xfId="2" applyFont="1" applyFill="1" applyBorder="1" applyAlignment="1">
      <alignment horizontal="center"/>
    </xf>
    <xf numFmtId="0" fontId="14" fillId="0" borderId="15" xfId="2" applyFont="1" applyBorder="1" applyAlignment="1">
      <alignment horizontal="left" wrapText="1"/>
    </xf>
    <xf numFmtId="0" fontId="27" fillId="6" borderId="36" xfId="2" applyFont="1" applyFill="1" applyBorder="1" applyAlignment="1">
      <alignment horizontal="center" vertical="center"/>
    </xf>
    <xf numFmtId="0" fontId="27" fillId="6" borderId="37" xfId="2" applyFont="1" applyFill="1" applyBorder="1" applyAlignment="1">
      <alignment horizontal="center" vertical="center"/>
    </xf>
    <xf numFmtId="0" fontId="13" fillId="6" borderId="38" xfId="2" applyFont="1" applyFill="1" applyBorder="1" applyAlignment="1">
      <alignment horizontal="center" vertical="center"/>
    </xf>
    <xf numFmtId="0" fontId="27" fillId="6" borderId="23" xfId="2" applyFont="1" applyFill="1" applyBorder="1" applyAlignment="1">
      <alignment horizontal="center" vertical="center"/>
    </xf>
    <xf numFmtId="0" fontId="27" fillId="7" borderId="23" xfId="2" applyFont="1" applyFill="1" applyBorder="1" applyAlignment="1">
      <alignment horizontal="center" vertical="center"/>
    </xf>
    <xf numFmtId="0" fontId="27" fillId="8" borderId="39" xfId="2" applyFont="1" applyFill="1" applyBorder="1" applyAlignment="1">
      <alignment horizontal="center" vertical="center"/>
    </xf>
    <xf numFmtId="166" fontId="16" fillId="4" borderId="40" xfId="2" applyNumberFormat="1" applyFont="1" applyFill="1" applyBorder="1" applyAlignment="1">
      <alignment horizontal="center" vertical="center"/>
    </xf>
    <xf numFmtId="0" fontId="15" fillId="6" borderId="36" xfId="2" applyFont="1" applyFill="1" applyBorder="1" applyAlignment="1">
      <alignment horizontal="center" vertical="center" wrapText="1"/>
    </xf>
    <xf numFmtId="0" fontId="16" fillId="0" borderId="10" xfId="1" quotePrefix="1" applyNumberFormat="1" applyFont="1" applyBorder="1" applyAlignment="1">
      <alignment horizontal="center"/>
    </xf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/>
    <xf numFmtId="166" fontId="16" fillId="3" borderId="31" xfId="2" applyNumberFormat="1" applyFont="1" applyFill="1" applyBorder="1" applyAlignment="1">
      <alignment horizontal="center" vertical="center"/>
    </xf>
    <xf numFmtId="0" fontId="27" fillId="11" borderId="23" xfId="2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9" fontId="14" fillId="0" borderId="0" xfId="0" applyNumberFormat="1" applyFont="1" applyAlignment="1">
      <alignment horizontal="center"/>
    </xf>
    <xf numFmtId="14" fontId="16" fillId="3" borderId="6" xfId="0" applyNumberFormat="1" applyFont="1" applyFill="1" applyBorder="1" applyAlignment="1">
      <alignment horizontal="center" vertical="center"/>
    </xf>
    <xf numFmtId="0" fontId="34" fillId="3" borderId="23" xfId="2" applyFont="1" applyFill="1" applyBorder="1" applyAlignment="1">
      <alignment horizontal="left" vertical="center" wrapText="1"/>
    </xf>
    <xf numFmtId="0" fontId="34" fillId="3" borderId="40" xfId="2" applyFont="1" applyFill="1" applyBorder="1" applyAlignment="1">
      <alignment horizontal="left" vertical="center" wrapText="1"/>
    </xf>
    <xf numFmtId="0" fontId="2" fillId="0" borderId="0" xfId="8"/>
    <xf numFmtId="0" fontId="2" fillId="3" borderId="0" xfId="8" applyFill="1" applyAlignment="1">
      <alignment horizontal="center"/>
    </xf>
    <xf numFmtId="0" fontId="38" fillId="3" borderId="0" xfId="8" applyFont="1" applyFill="1" applyAlignment="1">
      <alignment horizontal="center" vertical="center" wrapText="1" readingOrder="1"/>
    </xf>
    <xf numFmtId="0" fontId="2" fillId="3" borderId="0" xfId="8" applyFill="1"/>
    <xf numFmtId="0" fontId="41" fillId="3" borderId="0" xfId="8" applyFont="1" applyFill="1"/>
    <xf numFmtId="0" fontId="37" fillId="3" borderId="0" xfId="8" applyFont="1" applyFill="1"/>
    <xf numFmtId="0" fontId="41" fillId="13" borderId="0" xfId="8" applyFont="1" applyFill="1"/>
    <xf numFmtId="0" fontId="39" fillId="12" borderId="52" xfId="8" applyFont="1" applyFill="1" applyBorder="1" applyAlignment="1">
      <alignment horizontal="center" vertical="center" wrapText="1"/>
    </xf>
    <xf numFmtId="0" fontId="40" fillId="12" borderId="52" xfId="8" applyFont="1" applyFill="1" applyBorder="1" applyAlignment="1">
      <alignment horizontal="center" vertical="center" wrapText="1"/>
    </xf>
    <xf numFmtId="0" fontId="40" fillId="3" borderId="52" xfId="8" applyFont="1" applyFill="1" applyBorder="1" applyAlignment="1">
      <alignment horizontal="center" vertical="center" wrapText="1"/>
    </xf>
    <xf numFmtId="0" fontId="39" fillId="0" borderId="0" xfId="8" applyFont="1" applyAlignment="1">
      <alignment horizontal="center" vertical="center" wrapText="1"/>
    </xf>
    <xf numFmtId="0" fontId="40" fillId="0" borderId="0" xfId="8" applyFont="1" applyAlignment="1">
      <alignment horizontal="center" vertical="center" wrapText="1"/>
    </xf>
    <xf numFmtId="0" fontId="40" fillId="3" borderId="0" xfId="8" applyFont="1" applyFill="1" applyAlignment="1">
      <alignment horizontal="center" vertical="center" wrapText="1"/>
    </xf>
    <xf numFmtId="14" fontId="39" fillId="3" borderId="0" xfId="8" applyNumberFormat="1" applyFont="1" applyFill="1" applyAlignment="1">
      <alignment horizontal="center" vertical="center" wrapText="1"/>
    </xf>
    <xf numFmtId="10" fontId="39" fillId="12" borderId="59" xfId="8" applyNumberFormat="1" applyFont="1" applyFill="1" applyBorder="1" applyAlignment="1">
      <alignment horizontal="center" vertical="center" wrapText="1"/>
    </xf>
    <xf numFmtId="0" fontId="18" fillId="3" borderId="0" xfId="8" applyFont="1" applyFill="1"/>
    <xf numFmtId="0" fontId="18" fillId="0" borderId="0" xfId="8" applyFont="1"/>
    <xf numFmtId="0" fontId="40" fillId="0" borderId="64" xfId="8" applyFont="1" applyBorder="1" applyAlignment="1">
      <alignment horizontal="center" vertical="center" wrapText="1"/>
    </xf>
    <xf numFmtId="0" fontId="40" fillId="0" borderId="65" xfId="8" applyFont="1" applyBorder="1" applyAlignment="1">
      <alignment horizontal="center" vertical="center" wrapText="1"/>
    </xf>
    <xf numFmtId="0" fontId="34" fillId="3" borderId="31" xfId="2" quotePrefix="1" applyFont="1" applyFill="1" applyBorder="1" applyAlignment="1">
      <alignment horizontal="center" vertical="center" wrapText="1"/>
    </xf>
    <xf numFmtId="0" fontId="15" fillId="6" borderId="37" xfId="2" applyFont="1" applyFill="1" applyBorder="1" applyAlignment="1">
      <alignment horizontal="center" vertical="center" wrapText="1"/>
    </xf>
    <xf numFmtId="0" fontId="34" fillId="3" borderId="39" xfId="2" applyFont="1" applyFill="1" applyBorder="1" applyAlignment="1">
      <alignment horizontal="left" vertical="center" wrapText="1"/>
    </xf>
    <xf numFmtId="0" fontId="14" fillId="0" borderId="17" xfId="0" applyFont="1" applyBorder="1" applyAlignment="1">
      <alignment vertical="center"/>
    </xf>
    <xf numFmtId="0" fontId="43" fillId="14" borderId="69" xfId="0" applyFont="1" applyFill="1" applyBorder="1" applyAlignment="1">
      <alignment horizontal="center" vertical="center" wrapText="1"/>
    </xf>
    <xf numFmtId="0" fontId="43" fillId="14" borderId="69" xfId="0" applyFont="1" applyFill="1" applyBorder="1" applyAlignment="1">
      <alignment horizontal="center" wrapText="1"/>
    </xf>
    <xf numFmtId="0" fontId="43" fillId="15" borderId="0" xfId="0" applyFont="1" applyFill="1" applyAlignment="1">
      <alignment horizontal="center" wrapText="1"/>
    </xf>
    <xf numFmtId="10" fontId="43" fillId="0" borderId="3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center" wrapText="1"/>
    </xf>
    <xf numFmtId="14" fontId="0" fillId="16" borderId="31" xfId="0" applyNumberFormat="1" applyFill="1" applyBorder="1" applyAlignment="1">
      <alignment horizontal="center" vertical="center"/>
    </xf>
    <xf numFmtId="0" fontId="44" fillId="3" borderId="31" xfId="0" applyFont="1" applyFill="1" applyBorder="1" applyAlignment="1">
      <alignment horizontal="center" wrapText="1"/>
    </xf>
    <xf numFmtId="14" fontId="0" fillId="3" borderId="31" xfId="0" applyNumberFormat="1" applyFill="1" applyBorder="1" applyAlignment="1">
      <alignment horizontal="center" vertical="center"/>
    </xf>
    <xf numFmtId="0" fontId="45" fillId="3" borderId="31" xfId="0" applyFont="1" applyFill="1" applyBorder="1" applyAlignment="1">
      <alignment horizontal="center" wrapText="1"/>
    </xf>
    <xf numFmtId="0" fontId="0" fillId="3" borderId="0" xfId="0" applyFill="1"/>
    <xf numFmtId="0" fontId="2" fillId="16" borderId="31" xfId="0" applyFont="1" applyFill="1" applyBorder="1" applyAlignment="1">
      <alignment vertical="center"/>
    </xf>
    <xf numFmtId="0" fontId="48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44" fillId="3" borderId="0" xfId="0" applyFont="1" applyFill="1" applyAlignment="1">
      <alignment horizontal="center" wrapText="1"/>
    </xf>
    <xf numFmtId="0" fontId="49" fillId="3" borderId="31" xfId="0" applyFont="1" applyFill="1" applyBorder="1" applyAlignment="1">
      <alignment vertical="center"/>
    </xf>
    <xf numFmtId="14" fontId="49" fillId="3" borderId="31" xfId="0" applyNumberFormat="1" applyFont="1" applyFill="1" applyBorder="1" applyAlignment="1">
      <alignment horizontal="center" vertical="center"/>
    </xf>
    <xf numFmtId="166" fontId="16" fillId="17" borderId="31" xfId="2" applyNumberFormat="1" applyFont="1" applyFill="1" applyBorder="1" applyAlignment="1">
      <alignment horizontal="center" vertical="center"/>
    </xf>
    <xf numFmtId="0" fontId="44" fillId="3" borderId="68" xfId="0" applyFont="1" applyFill="1" applyBorder="1" applyAlignment="1">
      <alignment horizontal="center" wrapText="1"/>
    </xf>
    <xf numFmtId="0" fontId="50" fillId="18" borderId="68" xfId="0" applyFont="1" applyFill="1" applyBorder="1"/>
    <xf numFmtId="14" fontId="50" fillId="18" borderId="68" xfId="0" applyNumberFormat="1" applyFont="1" applyFill="1" applyBorder="1"/>
    <xf numFmtId="14" fontId="0" fillId="3" borderId="68" xfId="0" applyNumberFormat="1" applyFill="1" applyBorder="1" applyAlignment="1">
      <alignment horizontal="center" vertical="center"/>
    </xf>
    <xf numFmtId="0" fontId="45" fillId="3" borderId="68" xfId="0" applyFont="1" applyFill="1" applyBorder="1" applyAlignment="1">
      <alignment horizontal="center" wrapText="1"/>
    </xf>
    <xf numFmtId="0" fontId="50" fillId="0" borderId="68" xfId="0" applyFont="1" applyBorder="1"/>
    <xf numFmtId="14" fontId="50" fillId="0" borderId="68" xfId="0" applyNumberFormat="1" applyFont="1" applyBorder="1"/>
    <xf numFmtId="0" fontId="50" fillId="3" borderId="31" xfId="0" applyFont="1" applyFill="1" applyBorder="1"/>
    <xf numFmtId="14" fontId="49" fillId="18" borderId="77" xfId="0" applyNumberFormat="1" applyFont="1" applyFill="1" applyBorder="1" applyAlignment="1">
      <alignment horizontal="right" vertical="center"/>
    </xf>
    <xf numFmtId="14" fontId="49" fillId="0" borderId="77" xfId="0" applyNumberFormat="1" applyFont="1" applyBorder="1" applyAlignment="1">
      <alignment horizontal="right" vertical="center"/>
    </xf>
    <xf numFmtId="0" fontId="49" fillId="18" borderId="77" xfId="0" applyFont="1" applyFill="1" applyBorder="1" applyAlignment="1">
      <alignment horizontal="right" vertical="center"/>
    </xf>
    <xf numFmtId="14" fontId="49" fillId="18" borderId="31" xfId="0" applyNumberFormat="1" applyFont="1" applyFill="1" applyBorder="1" applyAlignment="1">
      <alignment horizontal="right" vertical="center"/>
    </xf>
    <xf numFmtId="0" fontId="49" fillId="18" borderId="31" xfId="0" applyFont="1" applyFill="1" applyBorder="1" applyAlignment="1">
      <alignment horizontal="right" vertical="center"/>
    </xf>
    <xf numFmtId="14" fontId="49" fillId="0" borderId="31" xfId="0" applyNumberFormat="1" applyFont="1" applyBorder="1" applyAlignment="1">
      <alignment horizontal="right" vertical="center"/>
    </xf>
    <xf numFmtId="14" fontId="49" fillId="19" borderId="78" xfId="0" applyNumberFormat="1" applyFont="1" applyFill="1" applyBorder="1" applyAlignment="1">
      <alignment horizontal="center" vertical="center"/>
    </xf>
    <xf numFmtId="14" fontId="49" fillId="19" borderId="79" xfId="0" applyNumberFormat="1" applyFont="1" applyFill="1" applyBorder="1" applyAlignment="1">
      <alignment horizontal="center" vertical="center"/>
    </xf>
    <xf numFmtId="0" fontId="50" fillId="3" borderId="31" xfId="0" applyFont="1" applyFill="1" applyBorder="1" applyAlignment="1">
      <alignment horizontal="center"/>
    </xf>
    <xf numFmtId="0" fontId="49" fillId="3" borderId="0" xfId="0" applyFont="1" applyFill="1" applyAlignment="1">
      <alignment vertical="center"/>
    </xf>
    <xf numFmtId="14" fontId="49" fillId="19" borderId="0" xfId="0" applyNumberFormat="1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50" fillId="3" borderId="0" xfId="0" applyFont="1" applyFill="1" applyAlignment="1">
      <alignment horizontal="center"/>
    </xf>
    <xf numFmtId="0" fontId="49" fillId="18" borderId="0" xfId="0" applyFont="1" applyFill="1" applyAlignment="1">
      <alignment horizontal="right" vertical="center"/>
    </xf>
    <xf numFmtId="0" fontId="45" fillId="3" borderId="0" xfId="0" applyFont="1" applyFill="1" applyAlignment="1">
      <alignment horizontal="center" wrapText="1"/>
    </xf>
    <xf numFmtId="14" fontId="49" fillId="3" borderId="0" xfId="0" applyNumberFormat="1" applyFont="1" applyFill="1" applyAlignment="1">
      <alignment horizontal="center" vertical="center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6" fillId="0" borderId="26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5" fillId="2" borderId="10" xfId="0" applyFont="1" applyFill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32" fillId="3" borderId="1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6" fillId="0" borderId="2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6" fillId="0" borderId="31" xfId="0" applyFont="1" applyBorder="1" applyAlignment="1">
      <alignment horizontal="left" wrapText="1"/>
    </xf>
    <xf numFmtId="0" fontId="16" fillId="0" borderId="35" xfId="0" applyFont="1" applyBorder="1" applyAlignment="1">
      <alignment horizontal="left" wrapText="1"/>
    </xf>
    <xf numFmtId="0" fontId="14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9" fontId="15" fillId="0" borderId="18" xfId="0" applyNumberFormat="1" applyFont="1" applyBorder="1" applyAlignment="1">
      <alignment horizontal="center" vertical="top" wrapText="1"/>
    </xf>
    <xf numFmtId="0" fontId="15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42" fillId="3" borderId="32" xfId="0" applyFont="1" applyFill="1" applyBorder="1" applyAlignment="1">
      <alignment horizontal="center" vertical="center" wrapText="1"/>
    </xf>
    <xf numFmtId="0" fontId="42" fillId="3" borderId="66" xfId="0" applyFont="1" applyFill="1" applyBorder="1" applyAlignment="1">
      <alignment horizontal="center" vertical="center" wrapText="1"/>
    </xf>
    <xf numFmtId="0" fontId="42" fillId="3" borderId="12" xfId="0" applyFont="1" applyFill="1" applyBorder="1" applyAlignment="1">
      <alignment horizontal="center" vertical="center" wrapText="1"/>
    </xf>
    <xf numFmtId="0" fontId="42" fillId="3" borderId="29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42" fillId="3" borderId="67" xfId="0" applyFont="1" applyFill="1" applyBorder="1" applyAlignment="1">
      <alignment horizontal="center" vertical="center" wrapText="1"/>
    </xf>
    <xf numFmtId="0" fontId="14" fillId="10" borderId="42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4" fillId="10" borderId="29" xfId="0" applyFont="1" applyFill="1" applyBorder="1" applyAlignment="1">
      <alignment horizontal="center" vertical="center" wrapText="1"/>
    </xf>
    <xf numFmtId="0" fontId="14" fillId="9" borderId="45" xfId="0" applyFont="1" applyFill="1" applyBorder="1" applyAlignment="1">
      <alignment horizontal="center" vertical="center" wrapText="1"/>
    </xf>
    <xf numFmtId="0" fontId="14" fillId="9" borderId="46" xfId="0" applyFont="1" applyFill="1" applyBorder="1" applyAlignment="1">
      <alignment horizontal="center" vertical="center" wrapText="1"/>
    </xf>
    <xf numFmtId="9" fontId="14" fillId="0" borderId="2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9" borderId="44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48" xfId="0" applyFont="1" applyFill="1" applyBorder="1" applyAlignment="1">
      <alignment horizontal="center" vertical="center" wrapText="1"/>
    </xf>
    <xf numFmtId="0" fontId="14" fillId="10" borderId="44" xfId="0" applyFont="1" applyFill="1" applyBorder="1" applyAlignment="1">
      <alignment horizontal="center" vertical="center" wrapText="1"/>
    </xf>
    <xf numFmtId="0" fontId="14" fillId="10" borderId="47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justify"/>
    </xf>
    <xf numFmtId="0" fontId="14" fillId="0" borderId="13" xfId="0" applyFont="1" applyBorder="1" applyAlignment="1">
      <alignment vertical="justify"/>
    </xf>
    <xf numFmtId="0" fontId="17" fillId="0" borderId="1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0" fontId="15" fillId="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9" fontId="15" fillId="11" borderId="23" xfId="0" applyNumberFormat="1" applyFont="1" applyFill="1" applyBorder="1" applyAlignment="1">
      <alignment horizontal="center"/>
    </xf>
    <xf numFmtId="9" fontId="15" fillId="11" borderId="31" xfId="0" applyNumberFormat="1" applyFont="1" applyFill="1" applyBorder="1" applyAlignment="1">
      <alignment horizontal="center"/>
    </xf>
    <xf numFmtId="9" fontId="15" fillId="11" borderId="35" xfId="0" applyNumberFormat="1" applyFont="1" applyFill="1" applyBorder="1" applyAlignment="1">
      <alignment horizontal="center"/>
    </xf>
    <xf numFmtId="9" fontId="15" fillId="7" borderId="23" xfId="0" applyNumberFormat="1" applyFont="1" applyFill="1" applyBorder="1" applyAlignment="1">
      <alignment horizontal="center"/>
    </xf>
    <xf numFmtId="9" fontId="15" fillId="7" borderId="31" xfId="0" applyNumberFormat="1" applyFont="1" applyFill="1" applyBorder="1" applyAlignment="1">
      <alignment horizontal="center"/>
    </xf>
    <xf numFmtId="9" fontId="15" fillId="7" borderId="35" xfId="0" applyNumberFormat="1" applyFont="1" applyFill="1" applyBorder="1" applyAlignment="1">
      <alignment horizontal="center"/>
    </xf>
    <xf numFmtId="9" fontId="15" fillId="8" borderId="23" xfId="0" applyNumberFormat="1" applyFont="1" applyFill="1" applyBorder="1" applyAlignment="1">
      <alignment horizontal="center"/>
    </xf>
    <xf numFmtId="9" fontId="15" fillId="8" borderId="31" xfId="0" applyNumberFormat="1" applyFont="1" applyFill="1" applyBorder="1" applyAlignment="1">
      <alignment horizontal="center"/>
    </xf>
    <xf numFmtId="9" fontId="15" fillId="8" borderId="35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13" xfId="0" applyFont="1" applyBorder="1" applyAlignment="1">
      <alignment horizontal="left"/>
    </xf>
    <xf numFmtId="0" fontId="17" fillId="0" borderId="12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0" xfId="2" applyFont="1" applyAlignment="1">
      <alignment horizontal="left" wrapText="1"/>
    </xf>
    <xf numFmtId="0" fontId="34" fillId="3" borderId="31" xfId="2" quotePrefix="1" applyFont="1" applyFill="1" applyBorder="1" applyAlignment="1">
      <alignment horizontal="center" vertical="center" wrapText="1"/>
    </xf>
    <xf numFmtId="0" fontId="34" fillId="3" borderId="31" xfId="2" applyFont="1" applyFill="1" applyBorder="1" applyAlignment="1">
      <alignment horizontal="center" vertical="center" wrapText="1"/>
    </xf>
    <xf numFmtId="0" fontId="33" fillId="3" borderId="1" xfId="2" applyFont="1" applyFill="1" applyBorder="1" applyAlignment="1">
      <alignment horizontal="center" vertical="center"/>
    </xf>
    <xf numFmtId="0" fontId="33" fillId="3" borderId="2" xfId="2" applyFont="1" applyFill="1" applyBorder="1" applyAlignment="1">
      <alignment horizontal="center" vertical="center"/>
    </xf>
    <xf numFmtId="0" fontId="33" fillId="3" borderId="3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 wrapText="1"/>
    </xf>
    <xf numFmtId="1" fontId="15" fillId="6" borderId="36" xfId="3" applyNumberFormat="1" applyFont="1" applyFill="1" applyBorder="1" applyAlignment="1">
      <alignment horizontal="left" vertical="center"/>
    </xf>
    <xf numFmtId="1" fontId="15" fillId="6" borderId="37" xfId="3" applyNumberFormat="1" applyFont="1" applyFill="1" applyBorder="1" applyAlignment="1">
      <alignment horizontal="left" vertical="center"/>
    </xf>
    <xf numFmtId="1" fontId="15" fillId="6" borderId="23" xfId="3" applyNumberFormat="1" applyFont="1" applyFill="1" applyBorder="1" applyAlignment="1">
      <alignment horizontal="left" vertical="center"/>
    </xf>
    <xf numFmtId="1" fontId="15" fillId="6" borderId="31" xfId="3" applyNumberFormat="1" applyFont="1" applyFill="1" applyBorder="1" applyAlignment="1">
      <alignment horizontal="left" vertical="center"/>
    </xf>
    <xf numFmtId="1" fontId="15" fillId="6" borderId="39" xfId="3" applyNumberFormat="1" applyFont="1" applyFill="1" applyBorder="1" applyAlignment="1">
      <alignment horizontal="left" vertical="center"/>
    </xf>
    <xf numFmtId="1" fontId="15" fillId="6" borderId="40" xfId="3" applyNumberFormat="1" applyFont="1" applyFill="1" applyBorder="1" applyAlignment="1">
      <alignment horizontal="left" vertical="center"/>
    </xf>
    <xf numFmtId="1" fontId="14" fillId="4" borderId="37" xfId="3" applyNumberFormat="1" applyFont="1" applyFill="1" applyBorder="1" applyAlignment="1">
      <alignment horizontal="left" vertical="center" wrapText="1"/>
    </xf>
    <xf numFmtId="1" fontId="14" fillId="4" borderId="38" xfId="3" applyNumberFormat="1" applyFont="1" applyFill="1" applyBorder="1" applyAlignment="1">
      <alignment horizontal="left" vertical="center" wrapText="1"/>
    </xf>
    <xf numFmtId="1" fontId="14" fillId="4" borderId="31" xfId="3" applyNumberFormat="1" applyFont="1" applyFill="1" applyBorder="1" applyAlignment="1">
      <alignment vertical="center"/>
    </xf>
    <xf numFmtId="1" fontId="14" fillId="4" borderId="35" xfId="3" applyNumberFormat="1" applyFont="1" applyFill="1" applyBorder="1" applyAlignment="1">
      <alignment vertical="center"/>
    </xf>
    <xf numFmtId="1" fontId="14" fillId="4" borderId="31" xfId="3" applyNumberFormat="1" applyFont="1" applyFill="1" applyBorder="1" applyAlignment="1">
      <alignment horizontal="left" vertical="center" wrapText="1"/>
    </xf>
    <xf numFmtId="1" fontId="14" fillId="4" borderId="35" xfId="3" applyNumberFormat="1" applyFont="1" applyFill="1" applyBorder="1" applyAlignment="1">
      <alignment horizontal="left" vertical="center" wrapText="1"/>
    </xf>
    <xf numFmtId="1" fontId="14" fillId="4" borderId="31" xfId="3" applyNumberFormat="1" applyFont="1" applyFill="1" applyBorder="1" applyAlignment="1">
      <alignment horizontal="left" vertical="center"/>
    </xf>
    <xf numFmtId="1" fontId="14" fillId="4" borderId="35" xfId="3" applyNumberFormat="1" applyFont="1" applyFill="1" applyBorder="1" applyAlignment="1">
      <alignment horizontal="left" vertical="center"/>
    </xf>
    <xf numFmtId="1" fontId="14" fillId="4" borderId="40" xfId="3" applyNumberFormat="1" applyFont="1" applyFill="1" applyBorder="1" applyAlignment="1">
      <alignment horizontal="left" vertical="center"/>
    </xf>
    <xf numFmtId="1" fontId="24" fillId="4" borderId="40" xfId="3" applyNumberFormat="1" applyFont="1" applyFill="1" applyBorder="1" applyAlignment="1">
      <alignment horizontal="center" vertical="center" wrapText="1"/>
    </xf>
    <xf numFmtId="1" fontId="24" fillId="4" borderId="41" xfId="3" applyNumberFormat="1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left" vertical="center" wrapText="1"/>
    </xf>
    <xf numFmtId="0" fontId="15" fillId="6" borderId="2" xfId="3" applyFont="1" applyFill="1" applyBorder="1" applyAlignment="1">
      <alignment horizontal="left" vertical="center" wrapText="1"/>
    </xf>
    <xf numFmtId="0" fontId="15" fillId="6" borderId="3" xfId="3" applyFont="1" applyFill="1" applyBorder="1" applyAlignment="1">
      <alignment horizontal="left" vertical="center" wrapText="1"/>
    </xf>
    <xf numFmtId="0" fontId="15" fillId="6" borderId="37" xfId="2" applyFont="1" applyFill="1" applyBorder="1" applyAlignment="1">
      <alignment horizontal="center" vertical="center" wrapText="1"/>
    </xf>
    <xf numFmtId="167" fontId="15" fillId="6" borderId="37" xfId="4" applyNumberFormat="1" applyFont="1" applyFill="1" applyBorder="1" applyAlignment="1">
      <alignment horizontal="center" vertical="center"/>
    </xf>
    <xf numFmtId="167" fontId="15" fillId="6" borderId="37" xfId="4" applyNumberFormat="1" applyFont="1" applyFill="1" applyBorder="1" applyAlignment="1">
      <alignment horizontal="center" wrapText="1"/>
    </xf>
    <xf numFmtId="167" fontId="15" fillId="6" borderId="38" xfId="4" applyNumberFormat="1" applyFont="1" applyFill="1" applyBorder="1" applyAlignment="1">
      <alignment horizontal="center" wrapText="1"/>
    </xf>
    <xf numFmtId="166" fontId="36" fillId="3" borderId="49" xfId="2" applyNumberFormat="1" applyFont="1" applyFill="1" applyBorder="1" applyAlignment="1">
      <alignment horizontal="center" vertical="center"/>
    </xf>
    <xf numFmtId="166" fontId="36" fillId="3" borderId="50" xfId="2" applyNumberFormat="1" applyFont="1" applyFill="1" applyBorder="1" applyAlignment="1">
      <alignment horizontal="center" vertical="center"/>
    </xf>
    <xf numFmtId="166" fontId="36" fillId="3" borderId="51" xfId="2" applyNumberFormat="1" applyFont="1" applyFill="1" applyBorder="1" applyAlignment="1">
      <alignment horizontal="center" vertical="center"/>
    </xf>
    <xf numFmtId="0" fontId="34" fillId="3" borderId="40" xfId="2" applyFont="1" applyFill="1" applyBorder="1" applyAlignment="1">
      <alignment horizontal="center" vertical="center" wrapText="1"/>
    </xf>
    <xf numFmtId="167" fontId="34" fillId="3" borderId="40" xfId="4" applyNumberFormat="1" applyFont="1" applyFill="1" applyBorder="1" applyAlignment="1">
      <alignment horizontal="center" vertical="center"/>
    </xf>
    <xf numFmtId="167" fontId="34" fillId="3" borderId="40" xfId="4" applyNumberFormat="1" applyFont="1" applyFill="1" applyBorder="1" applyAlignment="1">
      <alignment horizontal="center" wrapText="1"/>
    </xf>
    <xf numFmtId="167" fontId="34" fillId="3" borderId="41" xfId="4" applyNumberFormat="1" applyFont="1" applyFill="1" applyBorder="1" applyAlignment="1">
      <alignment horizontal="center" wrapText="1"/>
    </xf>
    <xf numFmtId="167" fontId="34" fillId="3" borderId="31" xfId="4" quotePrefix="1" applyNumberFormat="1" applyFont="1" applyFill="1" applyBorder="1" applyAlignment="1">
      <alignment horizontal="center" vertical="center"/>
    </xf>
    <xf numFmtId="167" fontId="34" fillId="3" borderId="31" xfId="4" applyNumberFormat="1" applyFont="1" applyFill="1" applyBorder="1" applyAlignment="1">
      <alignment horizontal="center" vertical="center"/>
    </xf>
    <xf numFmtId="167" fontId="34" fillId="3" borderId="31" xfId="4" quotePrefix="1" applyNumberFormat="1" applyFont="1" applyFill="1" applyBorder="1" applyAlignment="1">
      <alignment horizontal="center" wrapText="1"/>
    </xf>
    <xf numFmtId="167" fontId="34" fillId="3" borderId="35" xfId="4" applyNumberFormat="1" applyFont="1" applyFill="1" applyBorder="1" applyAlignment="1">
      <alignment horizontal="center" wrapText="1"/>
    </xf>
    <xf numFmtId="0" fontId="34" fillId="3" borderId="31" xfId="2" quotePrefix="1" applyFont="1" applyFill="1" applyBorder="1" applyAlignment="1">
      <alignment vertical="justify" wrapText="1"/>
    </xf>
    <xf numFmtId="0" fontId="34" fillId="3" borderId="31" xfId="2" applyFont="1" applyFill="1" applyBorder="1" applyAlignment="1">
      <alignment vertical="justify" wrapText="1"/>
    </xf>
    <xf numFmtId="167" fontId="34" fillId="3" borderId="31" xfId="4" quotePrefix="1" applyNumberFormat="1" applyFont="1" applyFill="1" applyBorder="1" applyAlignment="1">
      <alignment horizontal="center" vertical="center" wrapText="1"/>
    </xf>
    <xf numFmtId="0" fontId="34" fillId="3" borderId="31" xfId="2" quotePrefix="1" applyFont="1" applyFill="1" applyBorder="1" applyAlignment="1">
      <alignment horizontal="left" vertical="center" wrapText="1"/>
    </xf>
    <xf numFmtId="0" fontId="34" fillId="3" borderId="31" xfId="2" applyFont="1" applyFill="1" applyBorder="1" applyAlignment="1">
      <alignment horizontal="left" vertical="center" wrapText="1"/>
    </xf>
    <xf numFmtId="0" fontId="18" fillId="4" borderId="32" xfId="2" applyFont="1" applyFill="1" applyBorder="1" applyAlignment="1">
      <alignment horizontal="left" vertical="center" wrapText="1"/>
    </xf>
    <xf numFmtId="0" fontId="18" fillId="4" borderId="33" xfId="2" applyFont="1" applyFill="1" applyBorder="1" applyAlignment="1">
      <alignment horizontal="left" vertical="center"/>
    </xf>
    <xf numFmtId="0" fontId="18" fillId="4" borderId="34" xfId="2" applyFont="1" applyFill="1" applyBorder="1" applyAlignment="1">
      <alignment horizontal="left" vertical="center"/>
    </xf>
    <xf numFmtId="0" fontId="18" fillId="4" borderId="12" xfId="2" applyFont="1" applyFill="1" applyBorder="1" applyAlignment="1">
      <alignment horizontal="left" vertical="center"/>
    </xf>
    <xf numFmtId="0" fontId="18" fillId="4" borderId="0" xfId="2" applyFont="1" applyFill="1" applyAlignment="1">
      <alignment horizontal="left" vertical="center"/>
    </xf>
    <xf numFmtId="0" fontId="18" fillId="4" borderId="13" xfId="2" applyFont="1" applyFill="1" applyBorder="1" applyAlignment="1">
      <alignment horizontal="left" vertical="center"/>
    </xf>
    <xf numFmtId="0" fontId="18" fillId="4" borderId="14" xfId="2" applyFont="1" applyFill="1" applyBorder="1" applyAlignment="1">
      <alignment horizontal="left" vertical="center"/>
    </xf>
    <xf numFmtId="0" fontId="18" fillId="4" borderId="15" xfId="2" applyFont="1" applyFill="1" applyBorder="1" applyAlignment="1">
      <alignment horizontal="left" vertical="center"/>
    </xf>
    <xf numFmtId="0" fontId="18" fillId="4" borderId="16" xfId="2" applyFont="1" applyFill="1" applyBorder="1" applyAlignment="1">
      <alignment horizontal="left" vertical="center"/>
    </xf>
    <xf numFmtId="0" fontId="40" fillId="0" borderId="57" xfId="8" applyFont="1" applyBorder="1" applyAlignment="1">
      <alignment horizontal="center" vertical="center" wrapText="1"/>
    </xf>
    <xf numFmtId="0" fontId="40" fillId="0" borderId="58" xfId="8" applyFont="1" applyBorder="1" applyAlignment="1">
      <alignment horizontal="center" vertical="center" wrapText="1"/>
    </xf>
    <xf numFmtId="0" fontId="40" fillId="0" borderId="60" xfId="8" applyFont="1" applyBorder="1" applyAlignment="1">
      <alignment horizontal="center" vertical="center" wrapText="1"/>
    </xf>
    <xf numFmtId="0" fontId="40" fillId="0" borderId="61" xfId="8" applyFont="1" applyBorder="1" applyAlignment="1">
      <alignment horizontal="center" vertical="center" wrapText="1"/>
    </xf>
    <xf numFmtId="0" fontId="39" fillId="0" borderId="56" xfId="8" applyFont="1" applyBorder="1" applyAlignment="1">
      <alignment horizontal="center" vertical="center" wrapText="1"/>
    </xf>
    <xf numFmtId="0" fontId="39" fillId="0" borderId="59" xfId="8" applyFont="1" applyBorder="1" applyAlignment="1">
      <alignment horizontal="center" vertical="center" wrapText="1"/>
    </xf>
    <xf numFmtId="0" fontId="40" fillId="0" borderId="56" xfId="8" applyFont="1" applyBorder="1" applyAlignment="1">
      <alignment horizontal="center" vertical="center" wrapText="1"/>
    </xf>
    <xf numFmtId="0" fontId="40" fillId="0" borderId="59" xfId="8" applyFont="1" applyBorder="1" applyAlignment="1">
      <alignment horizontal="center" vertical="center" wrapText="1"/>
    </xf>
    <xf numFmtId="14" fontId="40" fillId="0" borderId="56" xfId="8" applyNumberFormat="1" applyFont="1" applyBorder="1" applyAlignment="1">
      <alignment horizontal="center" vertical="center" wrapText="1"/>
    </xf>
    <xf numFmtId="14" fontId="40" fillId="0" borderId="59" xfId="8" applyNumberFormat="1" applyFont="1" applyBorder="1" applyAlignment="1">
      <alignment horizontal="center" vertical="center" wrapText="1"/>
    </xf>
    <xf numFmtId="10" fontId="40" fillId="0" borderId="56" xfId="8" applyNumberFormat="1" applyFont="1" applyBorder="1" applyAlignment="1">
      <alignment horizontal="center" vertical="center" wrapText="1"/>
    </xf>
    <xf numFmtId="10" fontId="40" fillId="0" borderId="59" xfId="8" applyNumberFormat="1" applyFont="1" applyBorder="1" applyAlignment="1">
      <alignment horizontal="center" vertical="center" wrapText="1"/>
    </xf>
    <xf numFmtId="0" fontId="32" fillId="3" borderId="32" xfId="8" applyFont="1" applyFill="1" applyBorder="1" applyAlignment="1">
      <alignment horizontal="center" vertical="center" wrapText="1" readingOrder="1"/>
    </xf>
    <xf numFmtId="0" fontId="32" fillId="3" borderId="33" xfId="8" applyFont="1" applyFill="1" applyBorder="1" applyAlignment="1">
      <alignment horizontal="center" vertical="center" wrapText="1" readingOrder="1"/>
    </xf>
    <xf numFmtId="0" fontId="32" fillId="3" borderId="34" xfId="8" applyFont="1" applyFill="1" applyBorder="1" applyAlignment="1">
      <alignment horizontal="center" vertical="center" wrapText="1" readingOrder="1"/>
    </xf>
    <xf numFmtId="0" fontId="32" fillId="3" borderId="12" xfId="8" applyFont="1" applyFill="1" applyBorder="1" applyAlignment="1">
      <alignment horizontal="center" vertical="center" wrapText="1" readingOrder="1"/>
    </xf>
    <xf numFmtId="0" fontId="32" fillId="3" borderId="0" xfId="8" applyFont="1" applyFill="1" applyAlignment="1">
      <alignment horizontal="center" vertical="center" wrapText="1" readingOrder="1"/>
    </xf>
    <xf numFmtId="0" fontId="32" fillId="3" borderId="13" xfId="8" applyFont="1" applyFill="1" applyBorder="1" applyAlignment="1">
      <alignment horizontal="center" vertical="center" wrapText="1" readingOrder="1"/>
    </xf>
    <xf numFmtId="0" fontId="32" fillId="3" borderId="14" xfId="8" applyFont="1" applyFill="1" applyBorder="1" applyAlignment="1">
      <alignment horizontal="center" vertical="center" wrapText="1" readingOrder="1"/>
    </xf>
    <xf numFmtId="0" fontId="32" fillId="3" borderId="15" xfId="8" applyFont="1" applyFill="1" applyBorder="1" applyAlignment="1">
      <alignment horizontal="center" vertical="center" wrapText="1" readingOrder="1"/>
    </xf>
    <xf numFmtId="0" fontId="32" fillId="3" borderId="16" xfId="8" applyFont="1" applyFill="1" applyBorder="1" applyAlignment="1">
      <alignment horizontal="center" vertical="center" wrapText="1" readingOrder="1"/>
    </xf>
    <xf numFmtId="0" fontId="39" fillId="12" borderId="52" xfId="8" applyFont="1" applyFill="1" applyBorder="1" applyAlignment="1">
      <alignment horizontal="center" vertical="center"/>
    </xf>
    <xf numFmtId="0" fontId="40" fillId="3" borderId="52" xfId="8" applyFont="1" applyFill="1" applyBorder="1" applyAlignment="1">
      <alignment horizontal="left" vertical="center"/>
    </xf>
    <xf numFmtId="0" fontId="40" fillId="3" borderId="52" xfId="8" applyFont="1" applyFill="1" applyBorder="1" applyAlignment="1">
      <alignment horizontal="center" vertical="center"/>
    </xf>
    <xf numFmtId="0" fontId="39" fillId="3" borderId="53" xfId="8" applyFont="1" applyFill="1" applyBorder="1" applyAlignment="1">
      <alignment horizontal="center" vertical="center"/>
    </xf>
    <xf numFmtId="0" fontId="39" fillId="3" borderId="54" xfId="8" applyFont="1" applyFill="1" applyBorder="1" applyAlignment="1">
      <alignment horizontal="center" vertical="center"/>
    </xf>
    <xf numFmtId="0" fontId="39" fillId="3" borderId="55" xfId="8" applyFont="1" applyFill="1" applyBorder="1" applyAlignment="1">
      <alignment horizontal="center" vertical="center"/>
    </xf>
    <xf numFmtId="0" fontId="40" fillId="3" borderId="53" xfId="8" applyFont="1" applyFill="1" applyBorder="1" applyAlignment="1">
      <alignment horizontal="center" vertical="center"/>
    </xf>
    <xf numFmtId="0" fontId="40" fillId="3" borderId="54" xfId="8" applyFont="1" applyFill="1" applyBorder="1" applyAlignment="1">
      <alignment horizontal="center" vertical="center"/>
    </xf>
    <xf numFmtId="0" fontId="40" fillId="3" borderId="55" xfId="8" applyFont="1" applyFill="1" applyBorder="1" applyAlignment="1">
      <alignment horizontal="center" vertical="center"/>
    </xf>
    <xf numFmtId="0" fontId="40" fillId="3" borderId="52" xfId="8" applyFont="1" applyFill="1" applyBorder="1" applyAlignment="1">
      <alignment horizontal="left" vertical="center" wrapText="1"/>
    </xf>
    <xf numFmtId="0" fontId="39" fillId="12" borderId="56" xfId="8" applyFont="1" applyFill="1" applyBorder="1" applyAlignment="1">
      <alignment horizontal="center" vertical="center"/>
    </xf>
    <xf numFmtId="0" fontId="40" fillId="3" borderId="56" xfId="8" applyFont="1" applyFill="1" applyBorder="1" applyAlignment="1">
      <alignment horizontal="center" vertical="center"/>
    </xf>
    <xf numFmtId="0" fontId="39" fillId="12" borderId="52" xfId="8" applyFont="1" applyFill="1" applyBorder="1" applyAlignment="1">
      <alignment horizontal="center" vertical="center" wrapText="1"/>
    </xf>
    <xf numFmtId="0" fontId="39" fillId="12" borderId="53" xfId="8" applyFont="1" applyFill="1" applyBorder="1" applyAlignment="1">
      <alignment horizontal="center" vertical="center" wrapText="1"/>
    </xf>
    <xf numFmtId="0" fontId="39" fillId="12" borderId="54" xfId="8" applyFont="1" applyFill="1" applyBorder="1" applyAlignment="1">
      <alignment horizontal="center" vertical="center" wrapText="1"/>
    </xf>
    <xf numFmtId="0" fontId="39" fillId="12" borderId="55" xfId="8" applyFont="1" applyFill="1" applyBorder="1" applyAlignment="1">
      <alignment horizontal="center" vertical="center" wrapText="1"/>
    </xf>
    <xf numFmtId="14" fontId="39" fillId="12" borderId="52" xfId="8" applyNumberFormat="1" applyFont="1" applyFill="1" applyBorder="1" applyAlignment="1">
      <alignment horizontal="center" vertical="center" wrapText="1"/>
    </xf>
    <xf numFmtId="0" fontId="18" fillId="0" borderId="62" xfId="8" applyFont="1" applyBorder="1" applyAlignment="1">
      <alignment horizontal="left" vertical="center"/>
    </xf>
    <xf numFmtId="0" fontId="18" fillId="0" borderId="21" xfId="8" applyFont="1" applyBorder="1" applyAlignment="1">
      <alignment horizontal="left" vertical="center"/>
    </xf>
    <xf numFmtId="0" fontId="18" fillId="0" borderId="63" xfId="8" applyFont="1" applyBorder="1" applyAlignment="1">
      <alignment horizontal="left" vertical="center"/>
    </xf>
    <xf numFmtId="0" fontId="40" fillId="0" borderId="52" xfId="8" applyFont="1" applyBorder="1" applyAlignment="1">
      <alignment horizontal="center" vertical="center" wrapText="1"/>
    </xf>
    <xf numFmtId="14" fontId="40" fillId="0" borderId="52" xfId="8" applyNumberFormat="1" applyFont="1" applyBorder="1" applyAlignment="1">
      <alignment horizontal="center" vertical="center" wrapText="1"/>
    </xf>
    <xf numFmtId="0" fontId="43" fillId="14" borderId="69" xfId="0" applyFont="1" applyFill="1" applyBorder="1" applyAlignment="1">
      <alignment horizontal="center" vertical="center" wrapText="1"/>
    </xf>
    <xf numFmtId="0" fontId="43" fillId="14" borderId="75" xfId="0" applyFont="1" applyFill="1" applyBorder="1" applyAlignment="1">
      <alignment horizontal="center" vertical="center" wrapText="1"/>
    </xf>
    <xf numFmtId="0" fontId="43" fillId="14" borderId="68" xfId="0" applyFont="1" applyFill="1" applyBorder="1" applyAlignment="1">
      <alignment horizontal="center" vertical="center" wrapText="1"/>
    </xf>
    <xf numFmtId="0" fontId="43" fillId="14" borderId="70" xfId="0" applyFont="1" applyFill="1" applyBorder="1" applyAlignment="1">
      <alignment horizontal="center" vertical="center" wrapText="1"/>
    </xf>
    <xf numFmtId="0" fontId="43" fillId="14" borderId="71" xfId="0" applyFont="1" applyFill="1" applyBorder="1" applyAlignment="1">
      <alignment horizontal="center" vertical="center" wrapText="1"/>
    </xf>
    <xf numFmtId="0" fontId="43" fillId="14" borderId="72" xfId="0" applyFont="1" applyFill="1" applyBorder="1" applyAlignment="1">
      <alignment horizontal="center" vertical="center" wrapText="1"/>
    </xf>
    <xf numFmtId="0" fontId="43" fillId="14" borderId="73" xfId="0" applyFont="1" applyFill="1" applyBorder="1" applyAlignment="1">
      <alignment horizontal="center" vertical="center" wrapText="1"/>
    </xf>
    <xf numFmtId="0" fontId="43" fillId="14" borderId="74" xfId="0" applyFont="1" applyFill="1" applyBorder="1" applyAlignment="1">
      <alignment horizontal="center" vertical="center" wrapText="1"/>
    </xf>
    <xf numFmtId="0" fontId="43" fillId="15" borderId="15" xfId="0" applyFont="1" applyFill="1" applyBorder="1" applyAlignment="1">
      <alignment horizont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14" borderId="76" xfId="0" applyFont="1" applyFill="1" applyBorder="1" applyAlignment="1">
      <alignment horizontal="center" vertical="center" wrapText="1"/>
    </xf>
  </cellXfs>
  <cellStyles count="10">
    <cellStyle name="_x0004_¥" xfId="7" xr:uid="{00000000-0005-0000-0000-000000000000}"/>
    <cellStyle name="Millares" xfId="1" builtinId="3"/>
    <cellStyle name="Millares 2" xfId="4" xr:uid="{00000000-0005-0000-0000-000002000000}"/>
    <cellStyle name="Millares_CMI - CMET - Clientes" xfId="5" xr:uid="{00000000-0005-0000-0000-000003000000}"/>
    <cellStyle name="Normal" xfId="0" builtinId="0"/>
    <cellStyle name="Normal 2" xfId="6" xr:uid="{00000000-0005-0000-0000-000005000000}"/>
    <cellStyle name="Normal 3" xfId="8" xr:uid="{00000000-0005-0000-0000-000006000000}"/>
    <cellStyle name="Normal_CMI - CMET - Clientes" xfId="3" xr:uid="{00000000-0005-0000-0000-000007000000}"/>
    <cellStyle name="Normal_F1a 2" xfId="2" xr:uid="{00000000-0005-0000-0000-000008000000}"/>
    <cellStyle name="Porcentaje 2" xfId="9" xr:uid="{00000000-0005-0000-0000-00000900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ont>
        <condense val="0"/>
        <extend val="0"/>
        <color indexed="11"/>
      </font>
      <fill>
        <patternFill>
          <bgColor indexed="43"/>
        </patternFill>
      </fill>
    </dxf>
    <dxf>
      <font>
        <condense val="0"/>
        <extend val="0"/>
        <color indexed="52"/>
      </font>
      <fill>
        <patternFill patternType="solid">
          <bgColor indexed="43"/>
        </patternFill>
      </fill>
    </dxf>
    <dxf>
      <font>
        <condense val="0"/>
        <extend val="0"/>
        <color indexed="10"/>
      </font>
      <fill>
        <patternFill patternType="solid">
          <bgColor indexed="43"/>
        </patternFill>
      </fill>
    </dxf>
    <dxf>
      <font>
        <condense val="0"/>
        <extend val="0"/>
        <color indexed="11"/>
      </font>
      <fill>
        <patternFill patternType="none">
          <bgColor indexed="65"/>
        </patternFill>
      </fill>
    </dxf>
    <dxf>
      <font>
        <condense val="0"/>
        <extend val="0"/>
        <color indexed="51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Invisible" pivot="0" table="0" count="0" xr9:uid="{5717DC1B-034C-45B3-9046-38B1BA2AEEA7}"/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spPr>
            <a:solidFill>
              <a:srgbClr val="FFFF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SCORE CARD -BSC'!$C$11:$N$11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SCORE CARD -BSC'!$C$14:$N$14</c:f>
              <c:numCache>
                <c:formatCode>0.0</c:formatCode>
                <c:ptCount val="12"/>
                <c:pt idx="0">
                  <c:v>92.9</c:v>
                </c:pt>
                <c:pt idx="1">
                  <c:v>92.9</c:v>
                </c:pt>
                <c:pt idx="2">
                  <c:v>92.9</c:v>
                </c:pt>
                <c:pt idx="3">
                  <c:v>92.9</c:v>
                </c:pt>
                <c:pt idx="4">
                  <c:v>92.9</c:v>
                </c:pt>
                <c:pt idx="5">
                  <c:v>92.9</c:v>
                </c:pt>
                <c:pt idx="6">
                  <c:v>92.9</c:v>
                </c:pt>
                <c:pt idx="7">
                  <c:v>92.9</c:v>
                </c:pt>
                <c:pt idx="8">
                  <c:v>92.9</c:v>
                </c:pt>
                <c:pt idx="9">
                  <c:v>92.9</c:v>
                </c:pt>
                <c:pt idx="10">
                  <c:v>92.9</c:v>
                </c:pt>
                <c:pt idx="11">
                  <c:v>92.9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5-4F85-BC3E-C1D58A26C33A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SCORE CARD -BSC'!$C$11:$N$11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SCORE CARD -BSC'!$C$15:$N$15</c:f>
              <c:numCache>
                <c:formatCode>0.0</c:formatCode>
                <c:ptCount val="12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5-4F85-BC3E-C1D58A26C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2847"/>
        <c:axId val="1906873391"/>
      </c:area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  <a:beve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1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725-4F85-BC3E-C1D58A26C33A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25-4F85-BC3E-C1D58A26C33A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725-4F85-BC3E-C1D58A26C33A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25-4F85-BC3E-C1D58A26C33A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725-4F85-BC3E-C1D58A26C33A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725-4F85-BC3E-C1D58A26C33A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725-4F85-BC3E-C1D58A26C33A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725-4F85-BC3E-C1D58A26C33A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725-4F85-BC3E-C1D58A26C33A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725-4F85-BC3E-C1D58A26C33A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  <a:bevel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tx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25-4F85-BC3E-C1D58A26C33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'BALANCE SCORE CARD -BSC'!$C$11:$N$11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SCORE CARD -BSC'!$C$12:$N$12</c:f>
              <c:numCache>
                <c:formatCode>0.0</c:formatCode>
                <c:ptCount val="12"/>
                <c:pt idx="0">
                  <c:v>100.58</c:v>
                </c:pt>
                <c:pt idx="1">
                  <c:v>99.51</c:v>
                </c:pt>
                <c:pt idx="2">
                  <c:v>100</c:v>
                </c:pt>
                <c:pt idx="3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99.84</c:v>
                </c:pt>
                <c:pt idx="8">
                  <c:v>99.83</c:v>
                </c:pt>
                <c:pt idx="10">
                  <c:v>100</c:v>
                </c:pt>
                <c:pt idx="11">
                  <c:v>97.97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25-4F85-BC3E-C1D58A26C33A}"/>
            </c:ext>
          </c:extLst>
        </c:ser>
        <c:ser>
          <c:idx val="1"/>
          <c:order val="1"/>
          <c:spPr>
            <a:ln w="34925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'BALANCE SCORE CARD -BSC'!$C$11:$N$11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'BALANCE SCORE CARD -BSC'!$C$13:$N$13</c:f>
              <c:numCache>
                <c:formatCode>0.0</c:formatCode>
                <c:ptCount val="12"/>
                <c:pt idx="0">
                  <c:v>94</c:v>
                </c:pt>
                <c:pt idx="1">
                  <c:v>94</c:v>
                </c:pt>
                <c:pt idx="2">
                  <c:v>94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5-4F85-BC3E-C1D58A26C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82847"/>
        <c:axId val="1906873391"/>
      </c:lineChart>
      <c:catAx>
        <c:axId val="11338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6873391"/>
        <c:crosses val="autoZero"/>
        <c:auto val="1"/>
        <c:lblAlgn val="ctr"/>
        <c:lblOffset val="100"/>
        <c:noMultiLvlLbl val="0"/>
      </c:catAx>
      <c:valAx>
        <c:axId val="1906873391"/>
        <c:scaling>
          <c:orientation val="minMax"/>
          <c:max val="110"/>
          <c:min val="6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382847"/>
        <c:crosses val="autoZero"/>
        <c:crossBetween val="midCat"/>
      </c:valAx>
      <c:spPr>
        <a:solidFill>
          <a:srgbClr val="00FF00"/>
        </a:solidFill>
        <a:ln>
          <a:solidFill>
            <a:srgbClr val="80808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32</xdr:row>
      <xdr:rowOff>109236</xdr:rowOff>
    </xdr:from>
    <xdr:to>
      <xdr:col>2</xdr:col>
      <xdr:colOff>295275</xdr:colOff>
      <xdr:row>34</xdr:row>
      <xdr:rowOff>12056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F127D52-F57C-4C7D-8613-CC6049341A95}"/>
            </a:ext>
          </a:extLst>
        </xdr:cNvPr>
        <xdr:cNvSpPr txBox="1">
          <a:spLocks noChangeArrowheads="1"/>
        </xdr:cNvSpPr>
      </xdr:nvSpPr>
      <xdr:spPr bwMode="auto">
        <a:xfrm>
          <a:off x="466725" y="10535936"/>
          <a:ext cx="1835150" cy="22032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INDICADOR</a:t>
          </a:r>
        </a:p>
      </xdr:txBody>
    </xdr:sp>
    <xdr:clientData/>
  </xdr:twoCellAnchor>
  <xdr:twoCellAnchor>
    <xdr:from>
      <xdr:col>9</xdr:col>
      <xdr:colOff>23812</xdr:colOff>
      <xdr:row>32</xdr:row>
      <xdr:rowOff>95249</xdr:rowOff>
    </xdr:from>
    <xdr:to>
      <xdr:col>11</xdr:col>
      <xdr:colOff>419100</xdr:colOff>
      <xdr:row>34</xdr:row>
      <xdr:rowOff>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5B174443-45CA-4456-8006-F3760CDBCE30}"/>
            </a:ext>
          </a:extLst>
        </xdr:cNvPr>
        <xdr:cNvSpPr txBox="1">
          <a:spLocks noChangeArrowheads="1"/>
        </xdr:cNvSpPr>
      </xdr:nvSpPr>
      <xdr:spPr bwMode="auto">
        <a:xfrm>
          <a:off x="11288712" y="10521949"/>
          <a:ext cx="2770188" cy="222251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RESPONSABLES</a:t>
          </a:r>
        </a:p>
      </xdr:txBody>
    </xdr:sp>
    <xdr:clientData/>
  </xdr:twoCellAnchor>
  <xdr:twoCellAnchor>
    <xdr:from>
      <xdr:col>3</xdr:col>
      <xdr:colOff>238727</xdr:colOff>
      <xdr:row>32</xdr:row>
      <xdr:rowOff>73065</xdr:rowOff>
    </xdr:from>
    <xdr:to>
      <xdr:col>5</xdr:col>
      <xdr:colOff>381602</xdr:colOff>
      <xdr:row>34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6F83FAC0-8F36-47D1-8303-CD21A3C274F4}"/>
            </a:ext>
          </a:extLst>
        </xdr:cNvPr>
        <xdr:cNvSpPr txBox="1">
          <a:spLocks noChangeArrowheads="1"/>
        </xdr:cNvSpPr>
      </xdr:nvSpPr>
      <xdr:spPr bwMode="auto">
        <a:xfrm>
          <a:off x="3274027" y="10499765"/>
          <a:ext cx="1838325" cy="24443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FACTORES</a:t>
          </a:r>
        </a:p>
      </xdr:txBody>
    </xdr:sp>
    <xdr:clientData/>
  </xdr:twoCellAnchor>
  <xdr:twoCellAnchor>
    <xdr:from>
      <xdr:col>6</xdr:col>
      <xdr:colOff>55340</xdr:colOff>
      <xdr:row>32</xdr:row>
      <xdr:rowOff>73065</xdr:rowOff>
    </xdr:from>
    <xdr:to>
      <xdr:col>8</xdr:col>
      <xdr:colOff>293465</xdr:colOff>
      <xdr:row>33</xdr:row>
      <xdr:rowOff>144683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F5DB8EED-E8D4-4051-8C4C-419601124878}"/>
            </a:ext>
          </a:extLst>
        </xdr:cNvPr>
        <xdr:cNvSpPr txBox="1">
          <a:spLocks noChangeArrowheads="1"/>
        </xdr:cNvSpPr>
      </xdr:nvSpPr>
      <xdr:spPr bwMode="auto">
        <a:xfrm>
          <a:off x="7249890" y="10499765"/>
          <a:ext cx="2822575" cy="230368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CAUSAS</a:t>
          </a:r>
        </a:p>
      </xdr:txBody>
    </xdr:sp>
    <xdr:clientData/>
  </xdr:twoCellAnchor>
  <xdr:twoCellAnchor editAs="oneCell">
    <xdr:from>
      <xdr:col>0</xdr:col>
      <xdr:colOff>62706</xdr:colOff>
      <xdr:row>0</xdr:row>
      <xdr:rowOff>0</xdr:rowOff>
    </xdr:from>
    <xdr:to>
      <xdr:col>1</xdr:col>
      <xdr:colOff>165629</xdr:colOff>
      <xdr:row>0</xdr:row>
      <xdr:rowOff>628650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C1389761-395C-4B87-BB1F-9E137F0F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706" y="0"/>
          <a:ext cx="991923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466725</xdr:colOff>
      <xdr:row>32</xdr:row>
      <xdr:rowOff>109236</xdr:rowOff>
    </xdr:from>
    <xdr:to>
      <xdr:col>2</xdr:col>
      <xdr:colOff>295275</xdr:colOff>
      <xdr:row>34</xdr:row>
      <xdr:rowOff>12056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416DC1FC-8774-404A-922F-C67A5B4CC0A6}"/>
            </a:ext>
          </a:extLst>
        </xdr:cNvPr>
        <xdr:cNvSpPr txBox="1">
          <a:spLocks noChangeArrowheads="1"/>
        </xdr:cNvSpPr>
      </xdr:nvSpPr>
      <xdr:spPr bwMode="auto">
        <a:xfrm>
          <a:off x="466725" y="10535936"/>
          <a:ext cx="1835150" cy="22032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INDICADOR</a:t>
          </a:r>
        </a:p>
      </xdr:txBody>
    </xdr:sp>
    <xdr:clientData/>
  </xdr:twoCellAnchor>
  <xdr:twoCellAnchor>
    <xdr:from>
      <xdr:col>9</xdr:col>
      <xdr:colOff>23812</xdr:colOff>
      <xdr:row>32</xdr:row>
      <xdr:rowOff>95249</xdr:rowOff>
    </xdr:from>
    <xdr:to>
      <xdr:col>11</xdr:col>
      <xdr:colOff>419100</xdr:colOff>
      <xdr:row>34</xdr:row>
      <xdr:rowOff>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85F8C9F4-D2B7-491A-97E7-AD9520E63AA6}"/>
            </a:ext>
          </a:extLst>
        </xdr:cNvPr>
        <xdr:cNvSpPr txBox="1">
          <a:spLocks noChangeArrowheads="1"/>
        </xdr:cNvSpPr>
      </xdr:nvSpPr>
      <xdr:spPr bwMode="auto">
        <a:xfrm>
          <a:off x="11288712" y="10521949"/>
          <a:ext cx="2770188" cy="222251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RESPONSABLES</a:t>
          </a:r>
        </a:p>
      </xdr:txBody>
    </xdr:sp>
    <xdr:clientData/>
  </xdr:twoCellAnchor>
  <xdr:twoCellAnchor>
    <xdr:from>
      <xdr:col>3</xdr:col>
      <xdr:colOff>238727</xdr:colOff>
      <xdr:row>32</xdr:row>
      <xdr:rowOff>73065</xdr:rowOff>
    </xdr:from>
    <xdr:to>
      <xdr:col>5</xdr:col>
      <xdr:colOff>381602</xdr:colOff>
      <xdr:row>34</xdr:row>
      <xdr:rowOff>0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id="{D6A4B194-31E5-429E-B4A8-37CB41701193}"/>
            </a:ext>
          </a:extLst>
        </xdr:cNvPr>
        <xdr:cNvSpPr txBox="1">
          <a:spLocks noChangeArrowheads="1"/>
        </xdr:cNvSpPr>
      </xdr:nvSpPr>
      <xdr:spPr bwMode="auto">
        <a:xfrm>
          <a:off x="3274027" y="10499765"/>
          <a:ext cx="1838325" cy="24443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FACTORES</a:t>
          </a:r>
        </a:p>
      </xdr:txBody>
    </xdr:sp>
    <xdr:clientData/>
  </xdr:twoCellAnchor>
  <xdr:twoCellAnchor>
    <xdr:from>
      <xdr:col>6</xdr:col>
      <xdr:colOff>55340</xdr:colOff>
      <xdr:row>32</xdr:row>
      <xdr:rowOff>73065</xdr:rowOff>
    </xdr:from>
    <xdr:to>
      <xdr:col>8</xdr:col>
      <xdr:colOff>293465</xdr:colOff>
      <xdr:row>33</xdr:row>
      <xdr:rowOff>144683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4ABE0C4E-6A67-473D-A660-72F9176ACFDC}"/>
            </a:ext>
          </a:extLst>
        </xdr:cNvPr>
        <xdr:cNvSpPr txBox="1">
          <a:spLocks noChangeArrowheads="1"/>
        </xdr:cNvSpPr>
      </xdr:nvSpPr>
      <xdr:spPr bwMode="auto">
        <a:xfrm>
          <a:off x="7249890" y="10499765"/>
          <a:ext cx="2822575" cy="230368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s-PE" sz="11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CAUSAS</a:t>
          </a:r>
        </a:p>
      </xdr:txBody>
    </xdr:sp>
    <xdr:clientData/>
  </xdr:twoCellAnchor>
  <xdr:twoCellAnchor>
    <xdr:from>
      <xdr:col>3</xdr:col>
      <xdr:colOff>119065</xdr:colOff>
      <xdr:row>10</xdr:row>
      <xdr:rowOff>154781</xdr:rowOff>
    </xdr:from>
    <xdr:to>
      <xdr:col>8</xdr:col>
      <xdr:colOff>1309689</xdr:colOff>
      <xdr:row>11</xdr:row>
      <xdr:rowOff>226219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49670CB0-9D6F-4500-AD3B-82D3F6019B35}"/>
            </a:ext>
          </a:extLst>
        </xdr:cNvPr>
        <xdr:cNvSpPr>
          <a:spLocks noChangeArrowheads="1"/>
        </xdr:cNvSpPr>
      </xdr:nvSpPr>
      <xdr:spPr bwMode="auto">
        <a:xfrm>
          <a:off x="3154365" y="4117181"/>
          <a:ext cx="7934324" cy="509588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    </a:t>
          </a:r>
          <a:r>
            <a:rPr lang="en-US" sz="1200" b="0" i="0" u="sng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( N° total de días de estadía de proyectos - </a:t>
          </a:r>
          <a:r>
            <a:rPr kumimoji="0" lang="en-US" sz="12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N° total de días de atraso de proyectos)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x 100  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                                         N° total de días de estadía de proyectos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238125</xdr:colOff>
      <xdr:row>39</xdr:row>
      <xdr:rowOff>102391</xdr:rowOff>
    </xdr:from>
    <xdr:to>
      <xdr:col>2</xdr:col>
      <xdr:colOff>381000</xdr:colOff>
      <xdr:row>43</xdr:row>
      <xdr:rowOff>73815</xdr:rowOff>
    </xdr:to>
    <xdr:sp macro="" textlink="">
      <xdr:nvSpPr>
        <xdr:cNvPr id="12" name="Rectangle 34">
          <a:extLst>
            <a:ext uri="{FF2B5EF4-FFF2-40B4-BE49-F238E27FC236}">
              <a16:creationId xmlns:a16="http://schemas.microsoft.com/office/drawing/2014/main" id="{79C205FB-3904-4FDB-AA16-8EEE0216BB79}"/>
            </a:ext>
          </a:extLst>
        </xdr:cNvPr>
        <xdr:cNvSpPr>
          <a:spLocks noChangeArrowheads="1"/>
        </xdr:cNvSpPr>
      </xdr:nvSpPr>
      <xdr:spPr bwMode="auto">
        <a:xfrm>
          <a:off x="238125" y="12097541"/>
          <a:ext cx="2149475" cy="13874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/>
          <a:r>
            <a:rPr lang="es-PE" sz="1100">
              <a:effectLst/>
              <a:latin typeface="+mn-lt"/>
              <a:ea typeface="+mn-ea"/>
              <a:cs typeface="+mn-cs"/>
            </a:rPr>
            <a:t>% AVANCE DE PROYECTO</a:t>
          </a:r>
        </a:p>
      </xdr:txBody>
    </xdr:sp>
    <xdr:clientData/>
  </xdr:twoCellAnchor>
  <xdr:twoCellAnchor>
    <xdr:from>
      <xdr:col>3</xdr:col>
      <xdr:colOff>81264</xdr:colOff>
      <xdr:row>34</xdr:row>
      <xdr:rowOff>163432</xdr:rowOff>
    </xdr:from>
    <xdr:to>
      <xdr:col>5</xdr:col>
      <xdr:colOff>321771</xdr:colOff>
      <xdr:row>37</xdr:row>
      <xdr:rowOff>130516</xdr:rowOff>
    </xdr:to>
    <xdr:sp macro="" textlink="">
      <xdr:nvSpPr>
        <xdr:cNvPr id="13" name="Rectangle 35">
          <a:extLst>
            <a:ext uri="{FF2B5EF4-FFF2-40B4-BE49-F238E27FC236}">
              <a16:creationId xmlns:a16="http://schemas.microsoft.com/office/drawing/2014/main" id="{CDEF5A71-5D74-43F0-BCE4-653E60EBE184}"/>
            </a:ext>
          </a:extLst>
        </xdr:cNvPr>
        <xdr:cNvSpPr>
          <a:spLocks noChangeArrowheads="1"/>
        </xdr:cNvSpPr>
      </xdr:nvSpPr>
      <xdr:spPr bwMode="auto">
        <a:xfrm>
          <a:off x="3116564" y="10901282"/>
          <a:ext cx="1935957" cy="7036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Factores referidos al Cliente</a:t>
          </a:r>
        </a:p>
      </xdr:txBody>
    </xdr:sp>
    <xdr:clientData/>
  </xdr:twoCellAnchor>
  <xdr:twoCellAnchor>
    <xdr:from>
      <xdr:col>3</xdr:col>
      <xdr:colOff>69358</xdr:colOff>
      <xdr:row>42</xdr:row>
      <xdr:rowOff>392906</xdr:rowOff>
    </xdr:from>
    <xdr:to>
      <xdr:col>5</xdr:col>
      <xdr:colOff>297958</xdr:colOff>
      <xdr:row>45</xdr:row>
      <xdr:rowOff>222206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FF2E499E-CB7E-45A8-BB3E-61C92E650446}"/>
            </a:ext>
          </a:extLst>
        </xdr:cNvPr>
        <xdr:cNvSpPr>
          <a:spLocks noChangeArrowheads="1"/>
        </xdr:cNvSpPr>
      </xdr:nvSpPr>
      <xdr:spPr bwMode="auto">
        <a:xfrm>
          <a:off x="3104658" y="13302456"/>
          <a:ext cx="1924050" cy="762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Factores referidos a la operación</a:t>
          </a:r>
        </a:p>
      </xdr:txBody>
    </xdr:sp>
    <xdr:clientData/>
  </xdr:twoCellAnchor>
  <xdr:twoCellAnchor>
    <xdr:from>
      <xdr:col>6</xdr:col>
      <xdr:colOff>59833</xdr:colOff>
      <xdr:row>34</xdr:row>
      <xdr:rowOff>130969</xdr:rowOff>
    </xdr:from>
    <xdr:to>
      <xdr:col>8</xdr:col>
      <xdr:colOff>402733</xdr:colOff>
      <xdr:row>38</xdr:row>
      <xdr:rowOff>47626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AA371C84-F2B4-4B90-9C4A-1D19E46D515B}"/>
            </a:ext>
          </a:extLst>
        </xdr:cNvPr>
        <xdr:cNvSpPr>
          <a:spLocks noChangeArrowheads="1"/>
        </xdr:cNvSpPr>
      </xdr:nvSpPr>
      <xdr:spPr bwMode="auto">
        <a:xfrm>
          <a:off x="7254383" y="10875169"/>
          <a:ext cx="2927350" cy="8056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Comunicación oportuna con el cliente.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Cambio en los requerimientos del cliente.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Demora en la entrega de  materiales y/o equipos suministrados por el cliente. </a:t>
          </a:r>
        </a:p>
      </xdr:txBody>
    </xdr:sp>
    <xdr:clientData/>
  </xdr:twoCellAnchor>
  <xdr:twoCellAnchor>
    <xdr:from>
      <xdr:col>9</xdr:col>
      <xdr:colOff>71739</xdr:colOff>
      <xdr:row>34</xdr:row>
      <xdr:rowOff>152400</xdr:rowOff>
    </xdr:from>
    <xdr:to>
      <xdr:col>11</xdr:col>
      <xdr:colOff>414639</xdr:colOff>
      <xdr:row>38</xdr:row>
      <xdr:rowOff>11906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FD9A3690-0B55-469F-ADCA-83E7F22BEC3A}"/>
            </a:ext>
          </a:extLst>
        </xdr:cNvPr>
        <xdr:cNvSpPr>
          <a:spLocks noChangeArrowheads="1"/>
        </xdr:cNvSpPr>
      </xdr:nvSpPr>
      <xdr:spPr bwMode="auto">
        <a:xfrm>
          <a:off x="11336639" y="10896600"/>
          <a:ext cx="2717800" cy="7485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Jefe de Operaciones / Supervisor de Proyecto / Asistente Comercial</a:t>
          </a:r>
        </a:p>
      </xdr:txBody>
    </xdr:sp>
    <xdr:clientData/>
  </xdr:twoCellAnchor>
  <xdr:twoCellAnchor>
    <xdr:from>
      <xdr:col>6</xdr:col>
      <xdr:colOff>59833</xdr:colOff>
      <xdr:row>38</xdr:row>
      <xdr:rowOff>238274</xdr:rowOff>
    </xdr:from>
    <xdr:to>
      <xdr:col>8</xdr:col>
      <xdr:colOff>402733</xdr:colOff>
      <xdr:row>40</xdr:row>
      <xdr:rowOff>250936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0A983F30-1C71-4275-9C1C-D1C7087F49C7}"/>
            </a:ext>
          </a:extLst>
        </xdr:cNvPr>
        <xdr:cNvSpPr>
          <a:spLocks noChangeArrowheads="1"/>
        </xdr:cNvSpPr>
      </xdr:nvSpPr>
      <xdr:spPr bwMode="auto">
        <a:xfrm>
          <a:off x="7254383" y="11871474"/>
          <a:ext cx="2927350" cy="7556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rtl="0"/>
          <a:r>
            <a:rPr lang="es-PE" sz="1100" b="0" i="0" baseline="0">
              <a:effectLst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Falta de proveedores en la zona.</a:t>
          </a:r>
          <a:endParaRPr lang="es-PE" sz="1100">
            <a:effectLst/>
            <a:latin typeface="Century Gothic" panose="020B0502020202020204" pitchFamily="34" charset="0"/>
            <a:cs typeface="Arial" panose="020B0604020202020204" pitchFamily="34" charset="0"/>
          </a:endParaRPr>
        </a:p>
        <a:p>
          <a:pPr rtl="0"/>
          <a:r>
            <a:rPr lang="es-PE" sz="1100" b="0" i="0" baseline="0">
              <a:effectLst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Demora en entrega oportuna de materiales.</a:t>
          </a:r>
        </a:p>
        <a:p>
          <a:pPr rtl="0"/>
          <a:r>
            <a:rPr lang="es-PE" sz="1100" b="0" i="0" baseline="0">
              <a:effectLst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Demora en la entrega de información técnica</a:t>
          </a:r>
          <a:endParaRPr lang="es-PE" sz="1100">
            <a:effectLst/>
            <a:latin typeface="Century Gothic" panose="020B0502020202020204" pitchFamily="34" charset="0"/>
            <a:cs typeface="Arial" panose="020B0604020202020204" pitchFamily="34" charset="0"/>
          </a:endParaRPr>
        </a:p>
        <a:p>
          <a:pPr rtl="0"/>
          <a:r>
            <a:rPr lang="es-PE" sz="1100" b="0" i="0" baseline="0">
              <a:effectLst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Calidad de los insumos y materiales.</a:t>
          </a:r>
          <a:endParaRPr lang="es-PE" sz="1100">
            <a:effectLst/>
            <a:latin typeface="Century Gothic" panose="020B0502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71739</xdr:colOff>
      <xdr:row>38</xdr:row>
      <xdr:rowOff>264319</xdr:rowOff>
    </xdr:from>
    <xdr:to>
      <xdr:col>11</xdr:col>
      <xdr:colOff>414639</xdr:colOff>
      <xdr:row>40</xdr:row>
      <xdr:rowOff>238276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377EE09C-F71F-4170-9CE7-0CF5F9736B9D}"/>
            </a:ext>
          </a:extLst>
        </xdr:cNvPr>
        <xdr:cNvSpPr>
          <a:spLocks noChangeArrowheads="1"/>
        </xdr:cNvSpPr>
      </xdr:nvSpPr>
      <xdr:spPr bwMode="auto">
        <a:xfrm>
          <a:off x="11336639" y="11897519"/>
          <a:ext cx="2717800" cy="7169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Jefe de Diseño / Jefe de Abastecimiento Logístico</a:t>
          </a:r>
        </a:p>
      </xdr:txBody>
    </xdr:sp>
    <xdr:clientData/>
  </xdr:twoCellAnchor>
  <xdr:twoCellAnchor>
    <xdr:from>
      <xdr:col>6</xdr:col>
      <xdr:colOff>71739</xdr:colOff>
      <xdr:row>41</xdr:row>
      <xdr:rowOff>119063</xdr:rowOff>
    </xdr:from>
    <xdr:to>
      <xdr:col>8</xdr:col>
      <xdr:colOff>414639</xdr:colOff>
      <xdr:row>43</xdr:row>
      <xdr:rowOff>192456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7EEB05B8-7D76-4D3C-9212-80C9923F1088}"/>
            </a:ext>
          </a:extLst>
        </xdr:cNvPr>
        <xdr:cNvSpPr>
          <a:spLocks noChangeArrowheads="1"/>
        </xdr:cNvSpPr>
      </xdr:nvSpPr>
      <xdr:spPr bwMode="auto">
        <a:xfrm>
          <a:off x="7266289" y="12838113"/>
          <a:ext cx="2927350" cy="7655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Personal calificado.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Reprocesos.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Planificación, supervisión y coordinación de trabajos.</a:t>
          </a:r>
        </a:p>
      </xdr:txBody>
    </xdr:sp>
    <xdr:clientData/>
  </xdr:twoCellAnchor>
  <xdr:twoCellAnchor>
    <xdr:from>
      <xdr:col>6</xdr:col>
      <xdr:colOff>71739</xdr:colOff>
      <xdr:row>44</xdr:row>
      <xdr:rowOff>107157</xdr:rowOff>
    </xdr:from>
    <xdr:to>
      <xdr:col>8</xdr:col>
      <xdr:colOff>414639</xdr:colOff>
      <xdr:row>47</xdr:row>
      <xdr:rowOff>35719</xdr:rowOff>
    </xdr:to>
    <xdr:sp macro="" textlink="">
      <xdr:nvSpPr>
        <xdr:cNvPr id="20" name="Rectangle 42">
          <a:extLst>
            <a:ext uri="{FF2B5EF4-FFF2-40B4-BE49-F238E27FC236}">
              <a16:creationId xmlns:a16="http://schemas.microsoft.com/office/drawing/2014/main" id="{1E9AE2B2-F1AA-46F6-967B-8CE877206FF2}"/>
            </a:ext>
          </a:extLst>
        </xdr:cNvPr>
        <xdr:cNvSpPr>
          <a:spLocks noChangeArrowheads="1"/>
        </xdr:cNvSpPr>
      </xdr:nvSpPr>
      <xdr:spPr bwMode="auto">
        <a:xfrm>
          <a:off x="7266289" y="13791407"/>
          <a:ext cx="2927350" cy="658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Factores climáticos (cierre de puerto, lluvias y otros)</a:t>
          </a:r>
        </a:p>
      </xdr:txBody>
    </xdr:sp>
    <xdr:clientData/>
  </xdr:twoCellAnchor>
  <xdr:twoCellAnchor>
    <xdr:from>
      <xdr:col>9</xdr:col>
      <xdr:colOff>71739</xdr:colOff>
      <xdr:row>45</xdr:row>
      <xdr:rowOff>8648</xdr:rowOff>
    </xdr:from>
    <xdr:to>
      <xdr:col>11</xdr:col>
      <xdr:colOff>414639</xdr:colOff>
      <xdr:row>47</xdr:row>
      <xdr:rowOff>35719</xdr:rowOff>
    </xdr:to>
    <xdr:sp macro="" textlink="">
      <xdr:nvSpPr>
        <xdr:cNvPr id="21" name="Rectangle 43">
          <a:extLst>
            <a:ext uri="{FF2B5EF4-FFF2-40B4-BE49-F238E27FC236}">
              <a16:creationId xmlns:a16="http://schemas.microsoft.com/office/drawing/2014/main" id="{5067A2AA-42E2-4C9C-980E-94902E3DB07B}"/>
            </a:ext>
          </a:extLst>
        </xdr:cNvPr>
        <xdr:cNvSpPr>
          <a:spLocks noChangeArrowheads="1"/>
        </xdr:cNvSpPr>
      </xdr:nvSpPr>
      <xdr:spPr bwMode="auto">
        <a:xfrm>
          <a:off x="11336639" y="13851648"/>
          <a:ext cx="2717800" cy="5985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1100" b="0" i="0" baseline="0">
              <a:effectLst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Jefe de Operaciones / Supervisor de Proyectos</a:t>
          </a:r>
          <a:endParaRPr lang="es-PE" sz="1100">
            <a:effectLst/>
            <a:latin typeface="Century Gothic" panose="020B0502020202020204" pitchFamily="34" charset="0"/>
            <a:cs typeface="Arial" panose="020B0604020202020204" pitchFamily="34" charset="0"/>
          </a:endParaRPr>
        </a:p>
        <a:p>
          <a:pPr algn="ctr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Century Gothic" panose="020B0502020202020204" pitchFamily="34" charset="0"/>
            <a:cs typeface="Arial"/>
          </a:endParaRPr>
        </a:p>
      </xdr:txBody>
    </xdr:sp>
    <xdr:clientData/>
  </xdr:twoCellAnchor>
  <xdr:twoCellAnchor>
    <xdr:from>
      <xdr:col>9</xdr:col>
      <xdr:colOff>71739</xdr:colOff>
      <xdr:row>42</xdr:row>
      <xdr:rowOff>1957</xdr:rowOff>
    </xdr:from>
    <xdr:to>
      <xdr:col>11</xdr:col>
      <xdr:colOff>414639</xdr:colOff>
      <xdr:row>44</xdr:row>
      <xdr:rowOff>35719</xdr:rowOff>
    </xdr:to>
    <xdr:sp macro="" textlink="">
      <xdr:nvSpPr>
        <xdr:cNvPr id="22" name="Rectangle 44">
          <a:extLst>
            <a:ext uri="{FF2B5EF4-FFF2-40B4-BE49-F238E27FC236}">
              <a16:creationId xmlns:a16="http://schemas.microsoft.com/office/drawing/2014/main" id="{6F54512E-3064-4158-9277-DBB6689C00C1}"/>
            </a:ext>
          </a:extLst>
        </xdr:cNvPr>
        <xdr:cNvSpPr>
          <a:spLocks noChangeArrowheads="1"/>
        </xdr:cNvSpPr>
      </xdr:nvSpPr>
      <xdr:spPr bwMode="auto">
        <a:xfrm>
          <a:off x="11336639" y="12911507"/>
          <a:ext cx="2717800" cy="80846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Jefe de Operaciones / Supervisor de Proyectos / Jefe de logística de servicios / Jefe de Mantto y control de calidad</a:t>
          </a:r>
        </a:p>
      </xdr:txBody>
    </xdr:sp>
    <xdr:clientData/>
  </xdr:twoCellAnchor>
  <xdr:twoCellAnchor>
    <xdr:from>
      <xdr:col>3</xdr:col>
      <xdr:colOff>83646</xdr:colOff>
      <xdr:row>38</xdr:row>
      <xdr:rowOff>238125</xdr:rowOff>
    </xdr:from>
    <xdr:to>
      <xdr:col>5</xdr:col>
      <xdr:colOff>312246</xdr:colOff>
      <xdr:row>40</xdr:row>
      <xdr:rowOff>205209</xdr:rowOff>
    </xdr:to>
    <xdr:sp macro="" textlink="">
      <xdr:nvSpPr>
        <xdr:cNvPr id="23" name="Rectangle 35">
          <a:extLst>
            <a:ext uri="{FF2B5EF4-FFF2-40B4-BE49-F238E27FC236}">
              <a16:creationId xmlns:a16="http://schemas.microsoft.com/office/drawing/2014/main" id="{7E0F7515-9703-4AC2-AD6D-E5F07BEA5217}"/>
            </a:ext>
          </a:extLst>
        </xdr:cNvPr>
        <xdr:cNvSpPr>
          <a:spLocks noChangeArrowheads="1"/>
        </xdr:cNvSpPr>
      </xdr:nvSpPr>
      <xdr:spPr bwMode="auto">
        <a:xfrm>
          <a:off x="3118946" y="11871325"/>
          <a:ext cx="1924050" cy="710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11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Factores referido a insumos</a:t>
          </a:r>
        </a:p>
      </xdr:txBody>
    </xdr:sp>
    <xdr:clientData/>
  </xdr:twoCellAnchor>
  <xdr:twoCellAnchor>
    <xdr:from>
      <xdr:col>5</xdr:col>
      <xdr:colOff>297958</xdr:colOff>
      <xdr:row>44</xdr:row>
      <xdr:rowOff>75384</xdr:rowOff>
    </xdr:from>
    <xdr:to>
      <xdr:col>6</xdr:col>
      <xdr:colOff>71739</xdr:colOff>
      <xdr:row>46</xdr:row>
      <xdr:rowOff>83345</xdr:rowOff>
    </xdr:to>
    <xdr:cxnSp macro="">
      <xdr:nvCxnSpPr>
        <xdr:cNvPr id="24" name="AutoShape 53">
          <a:extLst>
            <a:ext uri="{FF2B5EF4-FFF2-40B4-BE49-F238E27FC236}">
              <a16:creationId xmlns:a16="http://schemas.microsoft.com/office/drawing/2014/main" id="{0A98D1F4-5A81-4880-9953-AD6DE0B6C0A2}"/>
            </a:ext>
          </a:extLst>
        </xdr:cNvPr>
        <xdr:cNvCxnSpPr>
          <a:cxnSpLocks noChangeShapeType="1"/>
        </xdr:cNvCxnSpPr>
      </xdr:nvCxnSpPr>
      <xdr:spPr bwMode="auto">
        <a:xfrm rot="10800000">
          <a:off x="5028708" y="13759634"/>
          <a:ext cx="2237581" cy="43341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5</xdr:col>
      <xdr:colOff>297958</xdr:colOff>
      <xdr:row>42</xdr:row>
      <xdr:rowOff>381978</xdr:rowOff>
    </xdr:from>
    <xdr:to>
      <xdr:col>6</xdr:col>
      <xdr:colOff>71739</xdr:colOff>
      <xdr:row>44</xdr:row>
      <xdr:rowOff>75382</xdr:rowOff>
    </xdr:to>
    <xdr:cxnSp macro="">
      <xdr:nvCxnSpPr>
        <xdr:cNvPr id="25" name="AutoShape 54">
          <a:extLst>
            <a:ext uri="{FF2B5EF4-FFF2-40B4-BE49-F238E27FC236}">
              <a16:creationId xmlns:a16="http://schemas.microsoft.com/office/drawing/2014/main" id="{95293DA2-7FDD-449C-B134-68BA3BE3B035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5028708" y="13291528"/>
          <a:ext cx="2237581" cy="46810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2</xdr:col>
      <xdr:colOff>381000</xdr:colOff>
      <xdr:row>41</xdr:row>
      <xdr:rowOff>141682</xdr:rowOff>
    </xdr:from>
    <xdr:to>
      <xdr:col>3</xdr:col>
      <xdr:colOff>69358</xdr:colOff>
      <xdr:row>44</xdr:row>
      <xdr:rowOff>75383</xdr:rowOff>
    </xdr:to>
    <xdr:cxnSp macro="">
      <xdr:nvCxnSpPr>
        <xdr:cNvPr id="26" name="AutoShape 55">
          <a:extLst>
            <a:ext uri="{FF2B5EF4-FFF2-40B4-BE49-F238E27FC236}">
              <a16:creationId xmlns:a16="http://schemas.microsoft.com/office/drawing/2014/main" id="{03BE82E4-94E4-4077-97A0-F94149BF8D43}"/>
            </a:ext>
          </a:extLst>
        </xdr:cNvPr>
        <xdr:cNvCxnSpPr>
          <a:cxnSpLocks noChangeShapeType="1"/>
        </xdr:cNvCxnSpPr>
      </xdr:nvCxnSpPr>
      <xdr:spPr bwMode="auto">
        <a:xfrm rot="10800000">
          <a:off x="2387600" y="12860732"/>
          <a:ext cx="717058" cy="89890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2</xdr:col>
      <xdr:colOff>381000</xdr:colOff>
      <xdr:row>36</xdr:row>
      <xdr:rowOff>158879</xdr:rowOff>
    </xdr:from>
    <xdr:to>
      <xdr:col>3</xdr:col>
      <xdr:colOff>81264</xdr:colOff>
      <xdr:row>41</xdr:row>
      <xdr:rowOff>141681</xdr:rowOff>
    </xdr:to>
    <xdr:cxnSp macro="">
      <xdr:nvCxnSpPr>
        <xdr:cNvPr id="27" name="AutoShape 55">
          <a:extLst>
            <a:ext uri="{FF2B5EF4-FFF2-40B4-BE49-F238E27FC236}">
              <a16:creationId xmlns:a16="http://schemas.microsoft.com/office/drawing/2014/main" id="{BC758BF4-E005-4916-AF44-64E9BA359EA3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2387600" y="11328529"/>
          <a:ext cx="728964" cy="153220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cxnSp>
    <xdr:clientData/>
  </xdr:twoCellAnchor>
  <xdr:twoCellAnchor>
    <xdr:from>
      <xdr:col>5</xdr:col>
      <xdr:colOff>333677</xdr:colOff>
      <xdr:row>39</xdr:row>
      <xdr:rowOff>321468</xdr:rowOff>
    </xdr:from>
    <xdr:to>
      <xdr:col>6</xdr:col>
      <xdr:colOff>59833</xdr:colOff>
      <xdr:row>39</xdr:row>
      <xdr:rowOff>327948</xdr:rowOff>
    </xdr:to>
    <xdr:cxnSp macro="">
      <xdr:nvCxnSpPr>
        <xdr:cNvPr id="28" name="52 Conector recto">
          <a:extLst>
            <a:ext uri="{FF2B5EF4-FFF2-40B4-BE49-F238E27FC236}">
              <a16:creationId xmlns:a16="http://schemas.microsoft.com/office/drawing/2014/main" id="{29FBB92B-F396-4D41-A335-8B0625990DAF}"/>
            </a:ext>
          </a:extLst>
        </xdr:cNvPr>
        <xdr:cNvCxnSpPr/>
      </xdr:nvCxnSpPr>
      <xdr:spPr>
        <a:xfrm>
          <a:off x="5064427" y="12316618"/>
          <a:ext cx="2189956" cy="648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333676</xdr:colOff>
      <xdr:row>36</xdr:row>
      <xdr:rowOff>142875</xdr:rowOff>
    </xdr:from>
    <xdr:to>
      <xdr:col>6</xdr:col>
      <xdr:colOff>59832</xdr:colOff>
      <xdr:row>36</xdr:row>
      <xdr:rowOff>149355</xdr:rowOff>
    </xdr:to>
    <xdr:cxnSp macro="">
      <xdr:nvCxnSpPr>
        <xdr:cNvPr id="29" name="71 Conector recto">
          <a:extLst>
            <a:ext uri="{FF2B5EF4-FFF2-40B4-BE49-F238E27FC236}">
              <a16:creationId xmlns:a16="http://schemas.microsoft.com/office/drawing/2014/main" id="{26D6D5C7-F121-4312-A5C8-A5B2C9BEDA13}"/>
            </a:ext>
          </a:extLst>
        </xdr:cNvPr>
        <xdr:cNvCxnSpPr/>
      </xdr:nvCxnSpPr>
      <xdr:spPr>
        <a:xfrm>
          <a:off x="5064426" y="11312525"/>
          <a:ext cx="2189956" cy="648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42334</xdr:rowOff>
    </xdr:from>
    <xdr:to>
      <xdr:col>1</xdr:col>
      <xdr:colOff>878417</xdr:colOff>
      <xdr:row>0</xdr:row>
      <xdr:rowOff>656168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42334"/>
          <a:ext cx="910167" cy="613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357189</xdr:colOff>
      <xdr:row>54</xdr:row>
      <xdr:rowOff>154782</xdr:rowOff>
    </xdr:from>
    <xdr:to>
      <xdr:col>8</xdr:col>
      <xdr:colOff>247652</xdr:colOff>
      <xdr:row>55</xdr:row>
      <xdr:rowOff>57150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7" y="14216063"/>
          <a:ext cx="771525" cy="223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23813</xdr:colOff>
      <xdr:row>15</xdr:row>
      <xdr:rowOff>140492</xdr:rowOff>
    </xdr:from>
    <xdr:to>
      <xdr:col>14</xdr:col>
      <xdr:colOff>1119187</xdr:colOff>
      <xdr:row>36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128512</xdr:colOff>
      <xdr:row>3</xdr:row>
      <xdr:rowOff>75596</xdr:rowOff>
    </xdr:from>
    <xdr:to>
      <xdr:col>13</xdr:col>
      <xdr:colOff>546552</xdr:colOff>
      <xdr:row>3</xdr:row>
      <xdr:rowOff>587565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931583" y="1590525"/>
          <a:ext cx="7520969" cy="511969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    </a:t>
          </a:r>
          <a:r>
            <a:rPr lang="en-US" sz="1200" b="0" i="0" u="sng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( N° total de días de estadía de proyectos - </a:t>
          </a:r>
          <a:r>
            <a:rPr kumimoji="0" lang="en-US" sz="12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N° total de días de atraso de proyectos)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x 100  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                                         N° total de días de estadía de proyectos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357189</xdr:colOff>
      <xdr:row>54</xdr:row>
      <xdr:rowOff>154782</xdr:rowOff>
    </xdr:from>
    <xdr:to>
      <xdr:col>8</xdr:col>
      <xdr:colOff>247652</xdr:colOff>
      <xdr:row>55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3539" y="15585282"/>
          <a:ext cx="817563" cy="226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29029</xdr:colOff>
      <xdr:row>0</xdr:row>
      <xdr:rowOff>172356</xdr:rowOff>
    </xdr:from>
    <xdr:to>
      <xdr:col>2</xdr:col>
      <xdr:colOff>617579</xdr:colOff>
      <xdr:row>2</xdr:row>
      <xdr:rowOff>62138</xdr:rowOff>
    </xdr:to>
    <xdr:pic>
      <xdr:nvPicPr>
        <xdr:cNvPr id="2" name="5 Imagen" descr="Logo TASA - Horizonta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43" y="172356"/>
          <a:ext cx="1813193" cy="41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166688</xdr:rowOff>
    </xdr:from>
    <xdr:to>
      <xdr:col>2</xdr:col>
      <xdr:colOff>750094</xdr:colOff>
      <xdr:row>30</xdr:row>
      <xdr:rowOff>284885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5957888"/>
          <a:ext cx="1975644" cy="8865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117929</xdr:colOff>
      <xdr:row>6</xdr:row>
      <xdr:rowOff>81643</xdr:rowOff>
    </xdr:from>
    <xdr:to>
      <xdr:col>24</xdr:col>
      <xdr:colOff>1071184</xdr:colOff>
      <xdr:row>6</xdr:row>
      <xdr:rowOff>593612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11693072" y="1424214"/>
          <a:ext cx="7520969" cy="511969"/>
        </a:xfrm>
        <a:prstGeom prst="rect">
          <a:avLst/>
        </a:prstGeom>
        <a:solidFill>
          <a:srgbClr val="FFFFFF"/>
        </a:solidFill>
        <a:ln w="9525">
          <a:solidFill>
            <a:schemeClr val="bg1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    </a:t>
          </a:r>
          <a:r>
            <a:rPr lang="en-US" sz="1200" b="0" i="0" u="sng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( N° total de días de estadía de proyectos - </a:t>
          </a:r>
          <a:r>
            <a:rPr kumimoji="0" lang="en-US" sz="12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N° total de días de atraso de proyectos)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x 100  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Arial" panose="020B0604020202020204" pitchFamily="34" charset="0"/>
            </a:rPr>
            <a:t>                                         N° total de días de estadía de proyectos</a:t>
          </a:r>
          <a:endParaRPr kumimoji="0" lang="es-PE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hcabanillas_tasa_com_pe/Documents/Velocimentros%20y%20Gaug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locimetros "/>
      <sheetName val="Velocimetros con imagenes 1"/>
      <sheetName val="Velocimetros con imagenes 2"/>
      <sheetName val="Velocimetros con imagenes 3"/>
      <sheetName val="Termo 1"/>
      <sheetName val="Excel_Gauge1"/>
      <sheetName val="Excel_Gauge2"/>
      <sheetName val="Excel_Gauge3"/>
      <sheetName val="Excel_Gauge4"/>
      <sheetName val="Excel_Gauge5"/>
      <sheetName val="Excel_Gauge6"/>
      <sheetName val="Enlazado a Celdas"/>
      <sheetName val="0 Fuentes"/>
    </sheetNames>
    <sheetDataSet>
      <sheetData sheetId="0">
        <row r="4">
          <cell r="C4" t="str">
            <v>misdatos</v>
          </cell>
        </row>
        <row r="32">
          <cell r="AK32">
            <v>2.5</v>
          </cell>
        </row>
      </sheetData>
      <sheetData sheetId="1"/>
      <sheetData sheetId="2"/>
      <sheetData sheetId="3"/>
      <sheetData sheetId="4">
        <row r="5">
          <cell r="C5">
            <v>0.45</v>
          </cell>
        </row>
      </sheetData>
      <sheetData sheetId="5"/>
      <sheetData sheetId="6">
        <row r="8">
          <cell r="I8" t="str">
            <v>Red</v>
          </cell>
        </row>
      </sheetData>
      <sheetData sheetId="7">
        <row r="5">
          <cell r="S5">
            <v>35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F132-6058-4A02-99A4-D6FD190D15B7}">
  <sheetPr>
    <tabColor rgb="FF002060"/>
  </sheetPr>
  <dimension ref="A1:L49"/>
  <sheetViews>
    <sheetView topLeftCell="A14" zoomScale="50" zoomScaleNormal="50" workbookViewId="0">
      <selection activeCell="H3" sqref="H3:I3"/>
    </sheetView>
  </sheetViews>
  <sheetFormatPr baseColWidth="10" defaultColWidth="11.453125" defaultRowHeight="12.5"/>
  <cols>
    <col min="1" max="1" width="12.7265625" customWidth="1"/>
    <col min="2" max="2" width="16" customWidth="1"/>
    <col min="3" max="3" width="14.7265625" customWidth="1"/>
    <col min="5" max="5" width="12.81640625" customWidth="1"/>
    <col min="6" max="6" width="35.26953125" customWidth="1"/>
    <col min="7" max="7" width="18.1796875" customWidth="1"/>
    <col min="8" max="8" width="18.81640625" customWidth="1"/>
    <col min="9" max="9" width="21.26953125" customWidth="1"/>
    <col min="10" max="10" width="15.54296875" customWidth="1"/>
    <col min="11" max="11" width="18.453125" customWidth="1"/>
    <col min="12" max="12" width="18.1796875" customWidth="1"/>
    <col min="13" max="13" width="3.81640625" customWidth="1"/>
    <col min="14" max="14" width="7" customWidth="1"/>
  </cols>
  <sheetData>
    <row r="1" spans="1:12" s="1" customFormat="1" ht="57" customHeight="1" thickBo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2"/>
    </row>
    <row r="2" spans="1:12" ht="16.5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41" customFormat="1" ht="74.25" customHeight="1" thickBot="1">
      <c r="A3" s="193" t="s">
        <v>1</v>
      </c>
      <c r="B3" s="194"/>
      <c r="C3" s="195" t="s">
        <v>2</v>
      </c>
      <c r="D3" s="196"/>
      <c r="E3" s="43"/>
      <c r="F3" s="193" t="s">
        <v>3</v>
      </c>
      <c r="G3" s="197"/>
      <c r="H3" s="198" t="s">
        <v>4</v>
      </c>
      <c r="I3" s="199"/>
      <c r="J3" s="44" t="s">
        <v>5</v>
      </c>
      <c r="K3" s="116">
        <v>45663</v>
      </c>
      <c r="L3" s="45" t="s">
        <v>6</v>
      </c>
    </row>
    <row r="4" spans="1:12" ht="16.5" thickBot="1">
      <c r="A4" s="183" t="s">
        <v>7</v>
      </c>
      <c r="B4" s="184"/>
      <c r="C4" s="185" t="s">
        <v>8</v>
      </c>
      <c r="D4" s="186"/>
      <c r="E4" s="42"/>
      <c r="F4" s="183" t="s">
        <v>9</v>
      </c>
      <c r="G4" s="187"/>
      <c r="H4" s="188" t="s">
        <v>10</v>
      </c>
      <c r="I4" s="189"/>
      <c r="J4" s="46" t="s">
        <v>11</v>
      </c>
      <c r="K4" s="116">
        <v>45677</v>
      </c>
      <c r="L4" s="102">
        <v>4</v>
      </c>
    </row>
    <row r="5" spans="1:12" ht="16.5" thickBot="1">
      <c r="A5" s="42"/>
      <c r="B5" s="42"/>
      <c r="C5" s="42"/>
      <c r="D5" s="42"/>
      <c r="E5" s="42"/>
      <c r="F5" s="47"/>
      <c r="G5" s="47"/>
      <c r="H5" s="42"/>
      <c r="I5" s="42"/>
      <c r="J5" s="42"/>
      <c r="K5" s="42"/>
      <c r="L5" s="42"/>
    </row>
    <row r="6" spans="1:12" ht="19.5" customHeight="1" thickBot="1">
      <c r="A6" s="200" t="s">
        <v>12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2"/>
    </row>
    <row r="7" spans="1:12" ht="24" customHeight="1">
      <c r="A7" s="203" t="s">
        <v>13</v>
      </c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5"/>
    </row>
    <row r="8" spans="1:12" ht="33" customHeight="1">
      <c r="A8" s="203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5"/>
    </row>
    <row r="9" spans="1:12" ht="15.75" customHeight="1">
      <c r="A9" s="203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5"/>
    </row>
    <row r="10" spans="1:12" ht="39.75" customHeight="1">
      <c r="A10" s="206" t="s">
        <v>14</v>
      </c>
      <c r="B10" s="207"/>
      <c r="C10" s="207"/>
      <c r="D10" s="208" t="s">
        <v>15</v>
      </c>
      <c r="E10" s="208"/>
      <c r="F10" s="208"/>
      <c r="G10" s="208"/>
      <c r="H10" s="208"/>
      <c r="I10" s="208"/>
      <c r="J10" s="208"/>
      <c r="K10" s="208"/>
      <c r="L10" s="209"/>
    </row>
    <row r="11" spans="1:12" ht="34.5" customHeight="1">
      <c r="A11" s="210" t="s">
        <v>16</v>
      </c>
      <c r="B11" s="211"/>
      <c r="C11" s="212"/>
      <c r="D11" s="213"/>
      <c r="E11" s="214"/>
      <c r="F11" s="214"/>
      <c r="G11" s="214"/>
      <c r="H11" s="214"/>
      <c r="I11" s="214"/>
      <c r="J11" s="214"/>
      <c r="K11" s="214"/>
      <c r="L11" s="215"/>
    </row>
    <row r="12" spans="1:12" ht="32.25" customHeight="1" thickBot="1">
      <c r="A12" s="210"/>
      <c r="B12" s="211"/>
      <c r="C12" s="212"/>
      <c r="D12" s="216"/>
      <c r="E12" s="217"/>
      <c r="F12" s="217"/>
      <c r="G12" s="217"/>
      <c r="H12" s="217"/>
      <c r="I12" s="217"/>
      <c r="J12" s="217"/>
      <c r="K12" s="217"/>
      <c r="L12" s="218"/>
    </row>
    <row r="13" spans="1:12" ht="22.5" customHeight="1" thickBot="1">
      <c r="A13" s="219" t="s">
        <v>17</v>
      </c>
      <c r="B13" s="220"/>
      <c r="C13" s="220"/>
      <c r="D13" s="220"/>
      <c r="E13" s="220"/>
      <c r="F13" s="221"/>
      <c r="G13" s="219" t="s">
        <v>18</v>
      </c>
      <c r="H13" s="220"/>
      <c r="I13" s="220"/>
      <c r="J13" s="220"/>
      <c r="K13" s="220"/>
      <c r="L13" s="221"/>
    </row>
    <row r="14" spans="1:12" ht="61" customHeight="1" thickTop="1">
      <c r="A14" s="141" t="s">
        <v>19</v>
      </c>
      <c r="B14" s="57"/>
      <c r="C14" s="222" t="s">
        <v>20</v>
      </c>
      <c r="D14" s="223"/>
      <c r="E14" s="223"/>
      <c r="F14" s="224"/>
      <c r="G14" s="225" t="s">
        <v>21</v>
      </c>
      <c r="H14" s="226"/>
      <c r="I14" s="231" t="s">
        <v>22</v>
      </c>
      <c r="J14" s="232"/>
      <c r="K14" s="235" t="s">
        <v>23</v>
      </c>
      <c r="L14" s="236"/>
    </row>
    <row r="15" spans="1:12" ht="16">
      <c r="A15" s="48" t="s">
        <v>24</v>
      </c>
      <c r="B15" s="49"/>
      <c r="C15" s="237" t="s">
        <v>25</v>
      </c>
      <c r="D15" s="238"/>
      <c r="E15" s="238"/>
      <c r="F15" s="239"/>
      <c r="G15" s="227"/>
      <c r="H15" s="228"/>
      <c r="I15" s="233"/>
      <c r="J15" s="234"/>
      <c r="K15" s="240" t="s">
        <v>26</v>
      </c>
      <c r="L15" s="241"/>
    </row>
    <row r="16" spans="1:12" ht="16">
      <c r="A16" s="48" t="s">
        <v>27</v>
      </c>
      <c r="B16" s="49"/>
      <c r="C16" s="238" t="s">
        <v>28</v>
      </c>
      <c r="D16" s="238"/>
      <c r="E16" s="238"/>
      <c r="F16" s="239"/>
      <c r="G16" s="227"/>
      <c r="H16" s="228"/>
      <c r="I16" s="242" t="s">
        <v>29</v>
      </c>
      <c r="J16" s="243"/>
      <c r="K16" s="240" t="s">
        <v>30</v>
      </c>
      <c r="L16" s="241"/>
    </row>
    <row r="17" spans="1:12" ht="18" customHeight="1">
      <c r="A17" s="48" t="s">
        <v>31</v>
      </c>
      <c r="B17" s="49"/>
      <c r="C17" s="238" t="s">
        <v>32</v>
      </c>
      <c r="D17" s="238"/>
      <c r="E17" s="238"/>
      <c r="F17" s="239"/>
      <c r="G17" s="227"/>
      <c r="H17" s="228"/>
      <c r="I17" s="233"/>
      <c r="J17" s="234"/>
      <c r="K17" s="240" t="s">
        <v>33</v>
      </c>
      <c r="L17" s="241"/>
    </row>
    <row r="18" spans="1:12" ht="18" customHeight="1">
      <c r="A18" s="48" t="s">
        <v>34</v>
      </c>
      <c r="B18" s="49"/>
      <c r="C18" s="237">
        <v>1</v>
      </c>
      <c r="D18" s="238"/>
      <c r="E18" s="238"/>
      <c r="F18" s="239"/>
      <c r="G18" s="227"/>
      <c r="H18" s="228"/>
      <c r="I18" s="242" t="s">
        <v>35</v>
      </c>
      <c r="J18" s="243"/>
      <c r="K18" s="240" t="s">
        <v>36</v>
      </c>
      <c r="L18" s="241"/>
    </row>
    <row r="19" spans="1:12" ht="18" customHeight="1">
      <c r="A19" s="50"/>
      <c r="B19" s="42"/>
      <c r="C19" s="115"/>
      <c r="D19" s="113"/>
      <c r="E19" s="113"/>
      <c r="F19" s="114"/>
      <c r="G19" s="227"/>
      <c r="H19" s="228"/>
      <c r="I19" s="233"/>
      <c r="J19" s="234"/>
      <c r="K19" s="240" t="s">
        <v>37</v>
      </c>
      <c r="L19" s="241"/>
    </row>
    <row r="20" spans="1:12" ht="18" customHeight="1" thickBot="1">
      <c r="A20" s="50"/>
      <c r="B20" s="42"/>
      <c r="C20" s="115"/>
      <c r="D20" s="113"/>
      <c r="E20" s="113"/>
      <c r="F20" s="114"/>
      <c r="G20" s="229"/>
      <c r="H20" s="230"/>
      <c r="I20" s="244"/>
      <c r="J20" s="245"/>
      <c r="K20" s="240" t="s">
        <v>38</v>
      </c>
      <c r="L20" s="241"/>
    </row>
    <row r="21" spans="1:12" ht="20.25" customHeight="1" thickBot="1">
      <c r="A21" s="219" t="s">
        <v>39</v>
      </c>
      <c r="B21" s="220"/>
      <c r="C21" s="220"/>
      <c r="D21" s="220"/>
      <c r="E21" s="220"/>
      <c r="F21" s="221"/>
      <c r="G21" s="219" t="s">
        <v>40</v>
      </c>
      <c r="H21" s="220"/>
      <c r="I21" s="252"/>
      <c r="J21" s="252"/>
      <c r="K21" s="220"/>
      <c r="L21" s="221"/>
    </row>
    <row r="22" spans="1:12" ht="18.75" customHeight="1">
      <c r="A22" s="103" t="s">
        <v>41</v>
      </c>
      <c r="B22" s="104"/>
      <c r="C22" s="104"/>
      <c r="D22" s="104"/>
      <c r="E22" s="104"/>
      <c r="F22" s="105"/>
      <c r="G22" s="253" t="s">
        <v>42</v>
      </c>
      <c r="H22" s="253"/>
      <c r="I22" s="253"/>
      <c r="J22" s="253"/>
      <c r="K22" s="253"/>
      <c r="L22" s="254"/>
    </row>
    <row r="23" spans="1:12" ht="17.25" customHeight="1">
      <c r="A23" s="257" t="s">
        <v>43</v>
      </c>
      <c r="B23" s="258"/>
      <c r="C23" s="258"/>
      <c r="D23" s="258"/>
      <c r="E23" s="258"/>
      <c r="F23" s="259"/>
      <c r="G23" s="253"/>
      <c r="H23" s="253"/>
      <c r="I23" s="253"/>
      <c r="J23" s="253"/>
      <c r="K23" s="253"/>
      <c r="L23" s="254"/>
    </row>
    <row r="24" spans="1:12" ht="17.25" customHeight="1">
      <c r="A24" s="260" t="s">
        <v>44</v>
      </c>
      <c r="B24" s="261"/>
      <c r="C24" s="261"/>
      <c r="D24" s="261"/>
      <c r="E24" s="261"/>
      <c r="F24" s="262"/>
      <c r="G24" s="253"/>
      <c r="H24" s="253"/>
      <c r="I24" s="253"/>
      <c r="J24" s="253"/>
      <c r="K24" s="253"/>
      <c r="L24" s="254"/>
    </row>
    <row r="25" spans="1:12" ht="17.25" customHeight="1">
      <c r="A25" s="263" t="s">
        <v>45</v>
      </c>
      <c r="B25" s="264"/>
      <c r="C25" s="264"/>
      <c r="D25" s="264"/>
      <c r="E25" s="264"/>
      <c r="F25" s="265"/>
      <c r="G25" s="253"/>
      <c r="H25" s="253"/>
      <c r="I25" s="253"/>
      <c r="J25" s="253"/>
      <c r="K25" s="253"/>
      <c r="L25" s="254"/>
    </row>
    <row r="26" spans="1:12" ht="16">
      <c r="A26" s="50" t="s">
        <v>46</v>
      </c>
      <c r="B26" s="50"/>
      <c r="C26" s="42"/>
      <c r="D26" s="266" t="s">
        <v>47</v>
      </c>
      <c r="E26" s="266"/>
      <c r="F26" s="267"/>
      <c r="G26" s="253"/>
      <c r="H26" s="253"/>
      <c r="I26" s="253"/>
      <c r="J26" s="253"/>
      <c r="K26" s="253"/>
      <c r="L26" s="254"/>
    </row>
    <row r="27" spans="1:12" ht="16">
      <c r="A27" s="50" t="s">
        <v>48</v>
      </c>
      <c r="B27" s="50"/>
      <c r="C27" s="42"/>
      <c r="D27" s="266"/>
      <c r="E27" s="266"/>
      <c r="F27" s="267"/>
      <c r="G27" s="253"/>
      <c r="H27" s="253"/>
      <c r="I27" s="253"/>
      <c r="J27" s="253"/>
      <c r="K27" s="253"/>
      <c r="L27" s="254"/>
    </row>
    <row r="28" spans="1:12" ht="33.75" customHeight="1">
      <c r="A28" s="268" t="s">
        <v>49</v>
      </c>
      <c r="B28" s="269"/>
      <c r="C28" s="270" t="s">
        <v>50</v>
      </c>
      <c r="D28" s="270"/>
      <c r="E28" s="270"/>
      <c r="F28" s="271"/>
      <c r="G28" s="253"/>
      <c r="H28" s="253"/>
      <c r="I28" s="253"/>
      <c r="J28" s="253"/>
      <c r="K28" s="253"/>
      <c r="L28" s="254"/>
    </row>
    <row r="29" spans="1:12" s="3" customFormat="1" ht="14.25" customHeight="1">
      <c r="A29" s="51"/>
      <c r="B29" s="42"/>
      <c r="C29" s="42"/>
      <c r="D29" s="246"/>
      <c r="E29" s="246"/>
      <c r="F29" s="247"/>
      <c r="G29" s="253"/>
      <c r="H29" s="253"/>
      <c r="I29" s="253"/>
      <c r="J29" s="253"/>
      <c r="K29" s="253"/>
      <c r="L29" s="254"/>
    </row>
    <row r="30" spans="1:12" s="3" customFormat="1" ht="37.5" customHeight="1">
      <c r="A30" s="248" t="s">
        <v>51</v>
      </c>
      <c r="B30" s="249"/>
      <c r="C30" s="249"/>
      <c r="D30" s="250" t="s">
        <v>50</v>
      </c>
      <c r="E30" s="250"/>
      <c r="F30" s="251"/>
      <c r="G30" s="253"/>
      <c r="H30" s="253"/>
      <c r="I30" s="253"/>
      <c r="J30" s="253"/>
      <c r="K30" s="253"/>
      <c r="L30" s="254"/>
    </row>
    <row r="31" spans="1:12" ht="25.5" customHeight="1" thickBot="1">
      <c r="A31" s="52"/>
      <c r="B31" s="53"/>
      <c r="C31" s="53"/>
      <c r="D31" s="53"/>
      <c r="E31" s="53"/>
      <c r="F31" s="54"/>
      <c r="G31" s="255"/>
      <c r="H31" s="255"/>
      <c r="I31" s="255"/>
      <c r="J31" s="255"/>
      <c r="K31" s="255"/>
      <c r="L31" s="256"/>
    </row>
    <row r="32" spans="1:12" ht="23.25" customHeight="1" thickBot="1">
      <c r="A32" s="200" t="s">
        <v>52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2"/>
    </row>
    <row r="33" spans="1:12">
      <c r="A33" s="106"/>
      <c r="L33" s="2"/>
    </row>
    <row r="34" spans="1:12">
      <c r="A34" s="106"/>
      <c r="L34" s="2"/>
    </row>
    <row r="35" spans="1:12">
      <c r="A35" s="106"/>
      <c r="L35" s="2"/>
    </row>
    <row r="36" spans="1:12" ht="21" customHeight="1">
      <c r="A36" s="106"/>
      <c r="L36" s="2"/>
    </row>
    <row r="37" spans="1:12" ht="24" customHeight="1">
      <c r="A37" s="106"/>
      <c r="L37" s="2"/>
    </row>
    <row r="38" spans="1:12">
      <c r="A38" s="106"/>
      <c r="L38" s="2"/>
    </row>
    <row r="39" spans="1:12" ht="28.5" customHeight="1">
      <c r="A39" s="106"/>
      <c r="L39" s="2"/>
    </row>
    <row r="40" spans="1:12" ht="30" customHeight="1">
      <c r="A40" s="106"/>
      <c r="L40" s="2"/>
    </row>
    <row r="41" spans="1:12" ht="27" customHeight="1">
      <c r="A41" s="106"/>
      <c r="L41" s="2"/>
    </row>
    <row r="42" spans="1:12" ht="15" customHeight="1">
      <c r="A42" s="106"/>
      <c r="L42" s="2"/>
    </row>
    <row r="43" spans="1:12" ht="39.75" customHeight="1">
      <c r="A43" s="106"/>
      <c r="L43" s="2"/>
    </row>
    <row r="44" spans="1:12" ht="21.75" customHeight="1">
      <c r="A44" s="106"/>
      <c r="L44" s="2"/>
    </row>
    <row r="45" spans="1:12">
      <c r="A45" s="106"/>
      <c r="L45" s="2"/>
    </row>
    <row r="46" spans="1:12" ht="21" customHeight="1">
      <c r="A46" s="106"/>
      <c r="L46" s="2"/>
    </row>
    <row r="47" spans="1:12" ht="24" customHeight="1">
      <c r="A47" s="106"/>
      <c r="L47" s="2"/>
    </row>
    <row r="48" spans="1:12" ht="13" thickBot="1">
      <c r="A48" s="107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9"/>
    </row>
    <row r="49" spans="1:1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</sheetData>
  <mergeCells count="47">
    <mergeCell ref="A32:L32"/>
    <mergeCell ref="A21:F21"/>
    <mergeCell ref="G21:L21"/>
    <mergeCell ref="G22:L31"/>
    <mergeCell ref="A23:F23"/>
    <mergeCell ref="A24:F24"/>
    <mergeCell ref="A25:F25"/>
    <mergeCell ref="D26:F26"/>
    <mergeCell ref="D27:F27"/>
    <mergeCell ref="A28:B28"/>
    <mergeCell ref="C28:F28"/>
    <mergeCell ref="K19:L19"/>
    <mergeCell ref="K20:L20"/>
    <mergeCell ref="D29:F29"/>
    <mergeCell ref="A30:C30"/>
    <mergeCell ref="D30:F30"/>
    <mergeCell ref="A13:F13"/>
    <mergeCell ref="G13:L13"/>
    <mergeCell ref="C14:F14"/>
    <mergeCell ref="G14:H20"/>
    <mergeCell ref="I14:J15"/>
    <mergeCell ref="K14:L14"/>
    <mergeCell ref="C15:F15"/>
    <mergeCell ref="K15:L15"/>
    <mergeCell ref="C16:F16"/>
    <mergeCell ref="I16:J17"/>
    <mergeCell ref="K16:L16"/>
    <mergeCell ref="C17:F17"/>
    <mergeCell ref="K17:L17"/>
    <mergeCell ref="C18:F18"/>
    <mergeCell ref="I18:J20"/>
    <mergeCell ref="K18:L18"/>
    <mergeCell ref="A6:L6"/>
    <mergeCell ref="A7:L9"/>
    <mergeCell ref="A10:C10"/>
    <mergeCell ref="D10:L10"/>
    <mergeCell ref="A11:C12"/>
    <mergeCell ref="D11:L12"/>
    <mergeCell ref="A4:B4"/>
    <mergeCell ref="C4:D4"/>
    <mergeCell ref="F4:G4"/>
    <mergeCell ref="H4:I4"/>
    <mergeCell ref="A1:L1"/>
    <mergeCell ref="A3:B3"/>
    <mergeCell ref="C3:D3"/>
    <mergeCell ref="F3:G3"/>
    <mergeCell ref="H3:I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U58"/>
  <sheetViews>
    <sheetView showGridLines="0" topLeftCell="A5" zoomScale="77" zoomScaleNormal="77" zoomScaleSheetLayoutView="42" workbookViewId="0">
      <selection activeCell="N13" sqref="N13"/>
    </sheetView>
  </sheetViews>
  <sheetFormatPr baseColWidth="10" defaultColWidth="11.453125" defaultRowHeight="12.5"/>
  <cols>
    <col min="1" max="1" width="1.453125" customWidth="1"/>
    <col min="2" max="2" width="16.81640625" customWidth="1"/>
    <col min="8" max="8" width="13.26953125" customWidth="1"/>
    <col min="9" max="9" width="12.81640625" customWidth="1"/>
    <col min="12" max="12" width="10.26953125" customWidth="1"/>
    <col min="13" max="13" width="10.7265625" customWidth="1"/>
    <col min="14" max="14" width="12.453125" customWidth="1"/>
    <col min="15" max="15" width="22.1796875" customWidth="1"/>
    <col min="16" max="16" width="1.26953125" customWidth="1"/>
  </cols>
  <sheetData>
    <row r="1" spans="1:21" ht="55.5" customHeight="1" thickBot="1">
      <c r="A1" s="275" t="s">
        <v>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7"/>
      <c r="Q1" s="5"/>
      <c r="R1" s="6"/>
      <c r="S1" s="6"/>
      <c r="T1" s="6"/>
      <c r="U1" s="6"/>
    </row>
    <row r="2" spans="1:21" ht="7.5" customHeight="1" thickBot="1">
      <c r="A2" s="58"/>
      <c r="B2" s="59"/>
      <c r="C2" s="60"/>
      <c r="D2" s="42"/>
      <c r="E2" s="42"/>
      <c r="F2" s="42"/>
      <c r="G2" s="42"/>
      <c r="H2" s="42"/>
      <c r="I2" s="42"/>
      <c r="J2" s="42"/>
      <c r="K2" s="61"/>
      <c r="L2" s="62"/>
      <c r="M2" s="63"/>
      <c r="N2" s="64"/>
      <c r="O2" s="62"/>
      <c r="P2" s="65"/>
      <c r="Q2" s="11"/>
      <c r="R2" s="8"/>
      <c r="S2" s="8"/>
      <c r="T2" s="9"/>
      <c r="U2" s="10"/>
    </row>
    <row r="3" spans="1:21" ht="55.5" customHeight="1">
      <c r="A3" s="58"/>
      <c r="B3" s="279" t="s">
        <v>53</v>
      </c>
      <c r="C3" s="280"/>
      <c r="D3" s="280"/>
      <c r="E3" s="285" t="s">
        <v>54</v>
      </c>
      <c r="F3" s="285"/>
      <c r="G3" s="285"/>
      <c r="H3" s="285"/>
      <c r="I3" s="285"/>
      <c r="J3" s="285"/>
      <c r="K3" s="285"/>
      <c r="L3" s="285"/>
      <c r="M3" s="285"/>
      <c r="N3" s="285"/>
      <c r="O3" s="286"/>
      <c r="P3" s="65"/>
      <c r="Q3" s="11"/>
      <c r="R3" s="8"/>
      <c r="S3" s="8"/>
      <c r="T3" s="9"/>
      <c r="U3" s="10"/>
    </row>
    <row r="4" spans="1:21" ht="57" customHeight="1">
      <c r="A4" s="58"/>
      <c r="B4" s="281" t="s">
        <v>55</v>
      </c>
      <c r="C4" s="282"/>
      <c r="D4" s="282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8"/>
      <c r="P4" s="65"/>
      <c r="Q4" s="11"/>
      <c r="R4" s="8"/>
      <c r="S4" s="8"/>
      <c r="T4" s="9"/>
      <c r="U4" s="10"/>
    </row>
    <row r="5" spans="1:21" ht="42" customHeight="1">
      <c r="A5" s="58"/>
      <c r="B5" s="281" t="s">
        <v>56</v>
      </c>
      <c r="C5" s="282"/>
      <c r="D5" s="282"/>
      <c r="E5" s="289" t="s">
        <v>57</v>
      </c>
      <c r="F5" s="289"/>
      <c r="G5" s="289"/>
      <c r="H5" s="289"/>
      <c r="I5" s="289"/>
      <c r="J5" s="289"/>
      <c r="K5" s="289"/>
      <c r="L5" s="289"/>
      <c r="M5" s="289"/>
      <c r="N5" s="289"/>
      <c r="O5" s="290"/>
      <c r="P5" s="65"/>
      <c r="Q5" s="11"/>
      <c r="R5" s="8"/>
      <c r="S5" s="8"/>
      <c r="T5" s="9"/>
      <c r="U5" s="10"/>
    </row>
    <row r="6" spans="1:21" ht="22.5" customHeight="1">
      <c r="A6" s="58"/>
      <c r="B6" s="281" t="s">
        <v>58</v>
      </c>
      <c r="C6" s="282"/>
      <c r="D6" s="282"/>
      <c r="E6" s="291" t="s">
        <v>59</v>
      </c>
      <c r="F6" s="291"/>
      <c r="G6" s="291"/>
      <c r="H6" s="291"/>
      <c r="I6" s="291"/>
      <c r="J6" s="291"/>
      <c r="K6" s="291"/>
      <c r="L6" s="291"/>
      <c r="M6" s="291"/>
      <c r="N6" s="291"/>
      <c r="O6" s="292"/>
      <c r="P6" s="65"/>
      <c r="Q6" s="11"/>
      <c r="R6" s="8"/>
      <c r="S6" s="8"/>
      <c r="T6" s="9"/>
      <c r="U6" s="10"/>
    </row>
    <row r="7" spans="1:21" ht="44.25" customHeight="1">
      <c r="A7" s="58"/>
      <c r="B7" s="283" t="s">
        <v>60</v>
      </c>
      <c r="C7" s="284"/>
      <c r="D7" s="284"/>
      <c r="E7" s="293" t="s">
        <v>47</v>
      </c>
      <c r="F7" s="293"/>
      <c r="G7" s="293"/>
      <c r="H7" s="284" t="s">
        <v>61</v>
      </c>
      <c r="I7" s="284"/>
      <c r="J7" s="293" t="s">
        <v>62</v>
      </c>
      <c r="K7" s="293"/>
      <c r="L7" s="284" t="s">
        <v>63</v>
      </c>
      <c r="M7" s="284"/>
      <c r="N7" s="294" t="s">
        <v>100</v>
      </c>
      <c r="O7" s="295"/>
      <c r="P7" s="65"/>
      <c r="Q7" s="11"/>
      <c r="R7" s="8"/>
      <c r="S7" s="8"/>
      <c r="T7" s="9"/>
      <c r="U7" s="10"/>
    </row>
    <row r="8" spans="1:21" ht="16.5" thickBot="1">
      <c r="A8" s="66"/>
      <c r="B8" s="67"/>
      <c r="C8" s="67"/>
      <c r="D8" s="67"/>
      <c r="E8" s="67"/>
      <c r="F8" s="67"/>
      <c r="G8" s="68"/>
      <c r="H8" s="67"/>
      <c r="I8" s="67"/>
      <c r="J8" s="69"/>
      <c r="K8" s="69"/>
      <c r="L8" s="70"/>
      <c r="M8" s="63"/>
      <c r="N8" s="64"/>
      <c r="O8" s="71"/>
      <c r="P8" s="72"/>
      <c r="Q8" s="13"/>
      <c r="R8" s="12"/>
      <c r="S8" s="12"/>
      <c r="T8" s="9"/>
      <c r="U8" s="10"/>
    </row>
    <row r="9" spans="1:21" ht="20.25" customHeight="1" thickBot="1">
      <c r="A9" s="66"/>
      <c r="B9" s="296" t="s">
        <v>65</v>
      </c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8"/>
      <c r="P9" s="72"/>
      <c r="Q9" s="13"/>
      <c r="R9" s="12"/>
      <c r="S9" s="12"/>
      <c r="T9" s="9"/>
      <c r="U9" s="10"/>
    </row>
    <row r="10" spans="1:21" ht="6.75" customHeight="1" thickBot="1">
      <c r="A10" s="32"/>
      <c r="B10" s="17"/>
      <c r="C10" s="17"/>
      <c r="D10" s="17"/>
      <c r="E10" s="33"/>
      <c r="F10" s="17"/>
      <c r="G10" s="17"/>
      <c r="H10" s="17"/>
      <c r="I10" s="17"/>
      <c r="J10" s="14"/>
      <c r="K10" s="14"/>
      <c r="L10" s="15"/>
      <c r="M10" s="15"/>
      <c r="N10" s="15"/>
      <c r="O10" s="16"/>
      <c r="P10" s="34"/>
      <c r="Q10" s="15"/>
      <c r="R10" s="16"/>
      <c r="S10" s="16"/>
      <c r="T10" s="16"/>
      <c r="U10" s="16"/>
    </row>
    <row r="11" spans="1:21" ht="25" customHeight="1">
      <c r="A11" s="32"/>
      <c r="B11" s="94" t="s">
        <v>66</v>
      </c>
      <c r="C11" s="95" t="s">
        <v>67</v>
      </c>
      <c r="D11" s="95" t="s">
        <v>68</v>
      </c>
      <c r="E11" s="95" t="s">
        <v>69</v>
      </c>
      <c r="F11" s="95" t="s">
        <v>70</v>
      </c>
      <c r="G11" s="95" t="s">
        <v>71</v>
      </c>
      <c r="H11" s="95" t="s">
        <v>72</v>
      </c>
      <c r="I11" s="95" t="s">
        <v>73</v>
      </c>
      <c r="J11" s="95" t="s">
        <v>74</v>
      </c>
      <c r="K11" s="95" t="s">
        <v>75</v>
      </c>
      <c r="L11" s="95" t="s">
        <v>76</v>
      </c>
      <c r="M11" s="95" t="s">
        <v>77</v>
      </c>
      <c r="N11" s="95" t="s">
        <v>78</v>
      </c>
      <c r="O11" s="96" t="s">
        <v>79</v>
      </c>
      <c r="P11" s="34"/>
      <c r="Q11" s="15"/>
      <c r="R11" s="16"/>
      <c r="S11" s="16"/>
      <c r="T11" s="16"/>
      <c r="U11" s="16"/>
    </row>
    <row r="12" spans="1:21" ht="25" customHeight="1">
      <c r="A12" s="32"/>
      <c r="B12" s="97" t="s">
        <v>80</v>
      </c>
      <c r="C12" s="111">
        <v>100.58</v>
      </c>
      <c r="D12" s="111">
        <v>99.51</v>
      </c>
      <c r="E12" s="111">
        <v>100</v>
      </c>
      <c r="F12" s="111">
        <v>100</v>
      </c>
      <c r="G12" s="158"/>
      <c r="H12" s="111">
        <v>100</v>
      </c>
      <c r="I12" s="111">
        <v>100</v>
      </c>
      <c r="J12" s="111">
        <v>99.84</v>
      </c>
      <c r="K12" s="111">
        <v>99.83</v>
      </c>
      <c r="L12" s="158"/>
      <c r="M12" s="111">
        <v>100</v>
      </c>
      <c r="N12" s="111">
        <v>97.97</v>
      </c>
      <c r="O12" s="303">
        <f>AVERAGE(C12:N12)</f>
        <v>99.77300000000001</v>
      </c>
      <c r="P12" s="34"/>
      <c r="Q12" s="15"/>
      <c r="R12" s="16"/>
      <c r="S12" s="16"/>
      <c r="T12" s="16"/>
      <c r="U12" s="16"/>
    </row>
    <row r="13" spans="1:21" ht="25" customHeight="1">
      <c r="A13" s="32"/>
      <c r="B13" s="112" t="s">
        <v>81</v>
      </c>
      <c r="C13" s="76">
        <v>94</v>
      </c>
      <c r="D13" s="76">
        <v>94</v>
      </c>
      <c r="E13" s="76">
        <v>94</v>
      </c>
      <c r="F13" s="76">
        <v>94</v>
      </c>
      <c r="G13" s="76">
        <v>94</v>
      </c>
      <c r="H13" s="76">
        <v>94</v>
      </c>
      <c r="I13" s="76">
        <v>94</v>
      </c>
      <c r="J13" s="76">
        <v>94</v>
      </c>
      <c r="K13" s="76">
        <v>94</v>
      </c>
      <c r="L13" s="76">
        <v>94</v>
      </c>
      <c r="M13" s="76">
        <v>94</v>
      </c>
      <c r="N13" s="76">
        <v>94</v>
      </c>
      <c r="O13" s="304"/>
      <c r="P13" s="34"/>
      <c r="Q13" s="15"/>
      <c r="R13" s="16"/>
      <c r="S13" s="16"/>
      <c r="T13" s="16"/>
      <c r="U13" s="16"/>
    </row>
    <row r="14" spans="1:21" ht="25" customHeight="1">
      <c r="A14" s="32"/>
      <c r="B14" s="98" t="s">
        <v>82</v>
      </c>
      <c r="C14" s="76">
        <v>92.9</v>
      </c>
      <c r="D14" s="76">
        <v>92.9</v>
      </c>
      <c r="E14" s="76">
        <v>92.9</v>
      </c>
      <c r="F14" s="76">
        <v>92.9</v>
      </c>
      <c r="G14" s="76">
        <v>92.9</v>
      </c>
      <c r="H14" s="76">
        <v>92.9</v>
      </c>
      <c r="I14" s="76">
        <v>92.9</v>
      </c>
      <c r="J14" s="76">
        <v>92.9</v>
      </c>
      <c r="K14" s="76">
        <v>92.9</v>
      </c>
      <c r="L14" s="76">
        <v>92.9</v>
      </c>
      <c r="M14" s="76">
        <v>92.9</v>
      </c>
      <c r="N14" s="76">
        <v>92.9</v>
      </c>
      <c r="O14" s="304"/>
      <c r="P14" s="34"/>
      <c r="Q14" s="15"/>
      <c r="R14" s="16"/>
      <c r="S14" s="16"/>
      <c r="T14" s="16"/>
      <c r="U14" s="16"/>
    </row>
    <row r="15" spans="1:21" ht="25" customHeight="1" thickBot="1">
      <c r="A15" s="32"/>
      <c r="B15" s="99" t="s">
        <v>83</v>
      </c>
      <c r="C15" s="100">
        <v>83</v>
      </c>
      <c r="D15" s="100">
        <v>83</v>
      </c>
      <c r="E15" s="100">
        <v>83</v>
      </c>
      <c r="F15" s="100">
        <v>83</v>
      </c>
      <c r="G15" s="100">
        <v>83</v>
      </c>
      <c r="H15" s="100">
        <v>83</v>
      </c>
      <c r="I15" s="100">
        <v>83</v>
      </c>
      <c r="J15" s="100">
        <v>83</v>
      </c>
      <c r="K15" s="100">
        <v>83</v>
      </c>
      <c r="L15" s="100">
        <v>83</v>
      </c>
      <c r="M15" s="100">
        <v>83</v>
      </c>
      <c r="N15" s="100">
        <v>83</v>
      </c>
      <c r="O15" s="305"/>
      <c r="P15" s="34"/>
      <c r="Q15" s="15"/>
      <c r="R15" s="16"/>
      <c r="S15" s="16"/>
      <c r="T15" s="16"/>
      <c r="U15" s="16"/>
    </row>
    <row r="16" spans="1:21" ht="25" customHeight="1">
      <c r="A16" s="32"/>
      <c r="B16" s="17"/>
      <c r="C16" s="17"/>
      <c r="D16" s="17"/>
      <c r="E16" s="33"/>
      <c r="F16" s="17"/>
      <c r="G16" s="17"/>
      <c r="H16" s="17"/>
      <c r="I16" s="17"/>
      <c r="J16" s="14"/>
      <c r="K16" s="14"/>
      <c r="L16" s="15"/>
      <c r="M16" s="15"/>
      <c r="N16" s="15"/>
      <c r="O16" s="16"/>
      <c r="P16" s="34"/>
      <c r="Q16" s="15"/>
      <c r="R16" s="16"/>
      <c r="S16" s="16"/>
      <c r="T16" s="16"/>
      <c r="U16" s="16"/>
    </row>
    <row r="17" spans="1:18" ht="16.5" customHeight="1">
      <c r="A17" s="32"/>
      <c r="B17" s="18"/>
      <c r="C17" s="17"/>
      <c r="D17" s="35"/>
      <c r="E17" s="19"/>
      <c r="F17" s="19"/>
      <c r="G17" s="19"/>
      <c r="H17" s="19"/>
      <c r="I17" s="17"/>
      <c r="J17" s="14"/>
      <c r="K17" s="15"/>
      <c r="L17" s="15"/>
      <c r="M17" s="278"/>
      <c r="N17" s="278"/>
      <c r="O17" s="16"/>
      <c r="P17" s="2"/>
    </row>
    <row r="18" spans="1:18" ht="15.5">
      <c r="A18" s="32"/>
      <c r="B18" s="17"/>
      <c r="C18" s="17"/>
      <c r="D18" s="17"/>
      <c r="E18" s="33"/>
      <c r="F18" s="17"/>
      <c r="G18" s="17"/>
      <c r="H18" s="17"/>
      <c r="I18" s="17"/>
      <c r="J18" s="14"/>
      <c r="K18" s="14"/>
      <c r="L18" s="14"/>
      <c r="M18" s="278"/>
      <c r="N18" s="278"/>
      <c r="O18" s="17"/>
      <c r="P18" s="2"/>
    </row>
    <row r="19" spans="1:18" ht="15.5">
      <c r="A19" s="32"/>
      <c r="B19" s="20"/>
      <c r="C19" s="20"/>
      <c r="D19" s="20"/>
      <c r="E19" s="21"/>
      <c r="F19" s="22"/>
      <c r="G19" s="22"/>
      <c r="H19" s="22"/>
      <c r="I19" s="22"/>
      <c r="K19" s="4"/>
      <c r="L19" s="4"/>
      <c r="M19" s="29"/>
      <c r="N19" s="29"/>
      <c r="O19" s="17"/>
      <c r="P19" s="2"/>
    </row>
    <row r="20" spans="1:18" ht="15.5">
      <c r="A20" s="32"/>
      <c r="B20" s="37"/>
      <c r="C20" s="37"/>
      <c r="D20" s="37"/>
      <c r="E20" s="37"/>
      <c r="F20" s="23"/>
      <c r="G20" s="24"/>
      <c r="H20" s="22"/>
      <c r="I20" s="22"/>
      <c r="K20" s="4"/>
      <c r="L20" s="4"/>
      <c r="M20" s="29"/>
      <c r="N20" s="29"/>
      <c r="O20" s="17"/>
      <c r="P20" s="2"/>
    </row>
    <row r="21" spans="1:18" ht="15.5">
      <c r="A21" s="32"/>
      <c r="B21" s="23"/>
      <c r="C21" s="23"/>
      <c r="D21" s="23"/>
      <c r="E21" s="23"/>
      <c r="F21" s="23"/>
      <c r="G21" s="24"/>
      <c r="H21" s="22"/>
      <c r="I21" s="22"/>
      <c r="K21" s="4"/>
      <c r="L21" s="4"/>
      <c r="M21" s="29"/>
      <c r="N21" s="29"/>
      <c r="O21" s="17"/>
      <c r="P21" s="2"/>
      <c r="R21" s="110"/>
    </row>
    <row r="22" spans="1:18" ht="15.5">
      <c r="A22" s="32"/>
      <c r="B22" s="23"/>
      <c r="C22" s="23"/>
      <c r="D22" s="23"/>
      <c r="E22" s="23"/>
      <c r="F22" s="23"/>
      <c r="G22" s="24"/>
      <c r="H22" s="22"/>
      <c r="I22" s="22"/>
      <c r="K22" s="4"/>
      <c r="L22" s="4"/>
      <c r="M22" s="29"/>
      <c r="N22" s="29"/>
      <c r="O22" s="17"/>
      <c r="P22" s="2"/>
    </row>
    <row r="23" spans="1:18" ht="15.5">
      <c r="A23" s="32"/>
      <c r="B23" s="23"/>
      <c r="C23" s="23"/>
      <c r="D23" s="23"/>
      <c r="E23" s="23"/>
      <c r="F23" s="23"/>
      <c r="G23" s="24"/>
      <c r="H23" s="22"/>
      <c r="I23" s="22"/>
      <c r="K23" s="4"/>
      <c r="L23" s="4"/>
      <c r="M23" s="29"/>
      <c r="N23" s="29"/>
      <c r="O23" s="17"/>
      <c r="P23" s="2"/>
    </row>
    <row r="24" spans="1:18" ht="15.5">
      <c r="A24" s="32"/>
      <c r="B24" s="23"/>
      <c r="C24" s="23"/>
      <c r="D24" s="23"/>
      <c r="E24" s="23"/>
      <c r="F24" s="23"/>
      <c r="G24" s="24"/>
      <c r="H24" s="22"/>
      <c r="I24" s="22"/>
      <c r="K24" s="4"/>
      <c r="L24" s="4"/>
      <c r="M24" s="29"/>
      <c r="N24" s="29"/>
      <c r="O24" s="17"/>
      <c r="P24" s="2"/>
    </row>
    <row r="25" spans="1:18" ht="15.5">
      <c r="A25" s="32"/>
      <c r="B25" s="23"/>
      <c r="C25" s="23"/>
      <c r="D25" s="23"/>
      <c r="E25" s="23"/>
      <c r="F25" s="23"/>
      <c r="G25" s="24"/>
      <c r="H25" s="22"/>
      <c r="I25" s="22"/>
      <c r="K25" s="4"/>
      <c r="L25" s="4"/>
      <c r="M25" s="29"/>
      <c r="N25" s="29"/>
      <c r="O25" s="17"/>
      <c r="P25" s="2"/>
    </row>
    <row r="26" spans="1:18" ht="15.5">
      <c r="A26" s="32"/>
      <c r="B26" s="23"/>
      <c r="C26" s="23"/>
      <c r="D26" s="23"/>
      <c r="E26" s="23"/>
      <c r="F26" s="23"/>
      <c r="G26" s="24"/>
      <c r="H26" s="22"/>
      <c r="I26" s="22"/>
      <c r="K26" s="4"/>
      <c r="L26" s="4"/>
      <c r="M26" s="29"/>
      <c r="N26" s="29"/>
      <c r="O26" s="17"/>
      <c r="P26" s="2"/>
    </row>
    <row r="27" spans="1:18" ht="15.5">
      <c r="A27" s="32"/>
      <c r="B27" s="23"/>
      <c r="C27" s="23"/>
      <c r="D27" s="23"/>
      <c r="E27" s="23"/>
      <c r="F27" s="23"/>
      <c r="G27" s="24"/>
      <c r="H27" s="22"/>
      <c r="I27" s="22"/>
      <c r="K27" s="4"/>
      <c r="L27" s="4"/>
      <c r="M27" s="29"/>
      <c r="N27" s="29"/>
      <c r="O27" s="17"/>
      <c r="P27" s="2"/>
    </row>
    <row r="28" spans="1:18" ht="15.5">
      <c r="A28" s="32"/>
      <c r="B28" s="23"/>
      <c r="C28" s="23"/>
      <c r="D28" s="23"/>
      <c r="E28" s="23"/>
      <c r="F28" s="23"/>
      <c r="G28" s="24"/>
      <c r="H28" s="22"/>
      <c r="I28" s="22"/>
      <c r="K28" s="4"/>
      <c r="L28" s="4"/>
      <c r="M28" s="29"/>
      <c r="N28" s="29"/>
      <c r="O28" s="17"/>
      <c r="P28" s="2"/>
    </row>
    <row r="29" spans="1:18" ht="15.5">
      <c r="A29" s="32"/>
      <c r="B29" s="23"/>
      <c r="C29" s="23"/>
      <c r="D29" s="23"/>
      <c r="E29" s="23"/>
      <c r="F29" s="23"/>
      <c r="G29" s="24"/>
      <c r="H29" s="22"/>
      <c r="I29" s="22"/>
      <c r="K29" s="4"/>
      <c r="L29" s="4"/>
      <c r="M29" s="29"/>
      <c r="N29" s="29"/>
      <c r="O29" s="17"/>
      <c r="P29" s="2"/>
    </row>
    <row r="30" spans="1:18" ht="15.5">
      <c r="A30" s="32"/>
      <c r="B30" s="23"/>
      <c r="C30" s="23"/>
      <c r="D30" s="23"/>
      <c r="E30" s="23"/>
      <c r="F30" s="23"/>
      <c r="G30" s="24"/>
      <c r="H30" s="22"/>
      <c r="I30" s="22"/>
      <c r="K30" s="4"/>
      <c r="L30" s="4"/>
      <c r="M30" s="29"/>
      <c r="N30" s="29"/>
      <c r="O30" s="17"/>
      <c r="P30" s="2"/>
    </row>
    <row r="31" spans="1:18" ht="15.5">
      <c r="A31" s="32"/>
      <c r="B31" s="23"/>
      <c r="C31" s="23"/>
      <c r="D31" s="23"/>
      <c r="E31" s="23"/>
      <c r="F31" s="23"/>
      <c r="G31" s="24"/>
      <c r="H31" s="22"/>
      <c r="I31" s="22"/>
      <c r="K31" s="4"/>
      <c r="L31" s="4"/>
      <c r="M31" s="29"/>
      <c r="N31" s="29"/>
      <c r="O31" s="17"/>
      <c r="P31" s="2"/>
    </row>
    <row r="32" spans="1:18" ht="15.5">
      <c r="A32" s="32"/>
      <c r="B32" s="23"/>
      <c r="C32" s="23"/>
      <c r="D32" s="23"/>
      <c r="E32" s="23"/>
      <c r="F32" s="23"/>
      <c r="G32" s="24"/>
      <c r="H32" s="22"/>
      <c r="I32" s="22"/>
      <c r="K32" s="4"/>
      <c r="L32" s="4"/>
      <c r="M32" s="29"/>
      <c r="N32" s="29"/>
      <c r="O32" s="17"/>
      <c r="P32" s="2"/>
    </row>
    <row r="33" spans="1:21" ht="15.5">
      <c r="A33" s="32"/>
      <c r="B33" s="23"/>
      <c r="C33" s="23"/>
      <c r="D33" s="23"/>
      <c r="E33" s="23"/>
      <c r="F33" s="23"/>
      <c r="G33" s="24"/>
      <c r="H33" s="22"/>
      <c r="I33" s="22"/>
      <c r="K33" s="4"/>
      <c r="L33" s="4"/>
      <c r="M33" s="29"/>
      <c r="N33" s="29"/>
      <c r="O33" s="17"/>
      <c r="P33" s="2"/>
    </row>
    <row r="34" spans="1:21" ht="15.5">
      <c r="A34" s="32"/>
      <c r="B34" s="23"/>
      <c r="C34" s="23"/>
      <c r="D34" s="23"/>
      <c r="E34" s="23"/>
      <c r="F34" s="23"/>
      <c r="G34" s="24"/>
      <c r="H34" s="22"/>
      <c r="I34" s="22"/>
      <c r="K34" s="4"/>
      <c r="L34" s="4"/>
      <c r="M34" s="29"/>
      <c r="N34" s="29"/>
      <c r="O34" s="17"/>
      <c r="P34" s="2"/>
    </row>
    <row r="35" spans="1:21" ht="8.25" customHeight="1">
      <c r="A35" s="32"/>
      <c r="B35" s="23"/>
      <c r="C35" s="23"/>
      <c r="D35" s="23"/>
      <c r="E35" s="23"/>
      <c r="F35" s="23"/>
      <c r="G35" s="24"/>
      <c r="H35" s="22"/>
      <c r="I35" s="22"/>
      <c r="K35" s="4"/>
      <c r="L35" s="4"/>
      <c r="M35" s="29"/>
      <c r="N35" s="29"/>
      <c r="O35" s="17"/>
      <c r="P35" s="2"/>
    </row>
    <row r="36" spans="1:21" ht="15.5">
      <c r="A36" s="32"/>
      <c r="B36" s="37"/>
      <c r="C36" s="37"/>
      <c r="D36" s="37"/>
      <c r="E36" s="37"/>
      <c r="F36" s="23"/>
      <c r="G36" s="25"/>
      <c r="H36" s="22"/>
      <c r="I36" s="22"/>
      <c r="K36" s="4"/>
      <c r="L36" s="4"/>
      <c r="M36" s="29"/>
      <c r="N36" s="29"/>
      <c r="O36" s="17"/>
      <c r="P36" s="2"/>
    </row>
    <row r="37" spans="1:21" ht="8.25" customHeight="1" thickBot="1">
      <c r="A37" s="32"/>
      <c r="B37" s="37"/>
      <c r="C37" s="37"/>
      <c r="D37" s="37"/>
      <c r="E37" s="37"/>
      <c r="F37" s="23"/>
      <c r="G37" s="25"/>
      <c r="H37" s="22"/>
      <c r="I37" s="22"/>
      <c r="K37" s="26"/>
      <c r="L37" s="28"/>
      <c r="M37" s="27"/>
      <c r="N37" s="27"/>
      <c r="O37" s="27"/>
      <c r="P37" s="7"/>
      <c r="Q37" s="4"/>
      <c r="R37" s="29"/>
      <c r="S37" s="29"/>
      <c r="T37" s="17"/>
    </row>
    <row r="38" spans="1:21" ht="20.25" customHeight="1" thickBot="1">
      <c r="A38" s="30"/>
      <c r="B38" s="296" t="s">
        <v>84</v>
      </c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8"/>
      <c r="P38" s="31"/>
      <c r="Q38" s="13"/>
      <c r="R38" s="12"/>
      <c r="S38" s="12"/>
      <c r="T38" s="9"/>
      <c r="U38" s="10"/>
    </row>
    <row r="39" spans="1:21" ht="8.25" customHeight="1" thickBot="1">
      <c r="A39" s="38"/>
      <c r="B39" s="78"/>
      <c r="C39" s="78"/>
      <c r="D39" s="78"/>
      <c r="E39" s="78"/>
      <c r="F39" s="79"/>
      <c r="G39" s="80"/>
      <c r="H39" s="77"/>
      <c r="I39" s="77"/>
      <c r="J39" s="55"/>
      <c r="K39" s="81"/>
      <c r="L39" s="83"/>
      <c r="M39" s="82"/>
      <c r="N39" s="82"/>
      <c r="O39" s="82"/>
      <c r="P39" s="7"/>
      <c r="Q39" s="4"/>
      <c r="R39" s="29"/>
      <c r="S39" s="29"/>
      <c r="T39" s="17"/>
    </row>
    <row r="40" spans="1:21" ht="30" customHeight="1">
      <c r="A40" s="38"/>
      <c r="B40" s="101" t="s">
        <v>66</v>
      </c>
      <c r="C40" s="139" t="s">
        <v>85</v>
      </c>
      <c r="D40" s="299" t="s">
        <v>86</v>
      </c>
      <c r="E40" s="299"/>
      <c r="F40" s="299"/>
      <c r="G40" s="299"/>
      <c r="H40" s="299" t="s">
        <v>87</v>
      </c>
      <c r="I40" s="299"/>
      <c r="J40" s="299"/>
      <c r="K40" s="299"/>
      <c r="L40" s="300" t="s">
        <v>88</v>
      </c>
      <c r="M40" s="300"/>
      <c r="N40" s="301" t="s">
        <v>89</v>
      </c>
      <c r="O40" s="302"/>
      <c r="P40" s="7"/>
      <c r="Q40" s="4"/>
      <c r="R40" s="29"/>
      <c r="S40" s="29"/>
      <c r="T40" s="17"/>
    </row>
    <row r="41" spans="1:21" ht="24" customHeight="1">
      <c r="A41" s="38"/>
      <c r="B41" s="117" t="s">
        <v>90</v>
      </c>
      <c r="C41" s="138"/>
      <c r="D41" s="273"/>
      <c r="E41" s="274"/>
      <c r="F41" s="274"/>
      <c r="G41" s="274"/>
      <c r="H41" s="273"/>
      <c r="I41" s="274"/>
      <c r="J41" s="274"/>
      <c r="K41" s="274"/>
      <c r="L41" s="310"/>
      <c r="M41" s="311"/>
      <c r="N41" s="312"/>
      <c r="O41" s="313"/>
      <c r="P41" s="7"/>
      <c r="Q41" s="4"/>
      <c r="R41" s="29"/>
      <c r="S41" s="29"/>
      <c r="T41" s="17"/>
    </row>
    <row r="42" spans="1:21" ht="24" customHeight="1">
      <c r="A42" s="38"/>
      <c r="B42" s="117" t="s">
        <v>91</v>
      </c>
      <c r="C42" s="138"/>
      <c r="D42" s="273"/>
      <c r="E42" s="274"/>
      <c r="F42" s="274"/>
      <c r="G42" s="274"/>
      <c r="H42" s="314"/>
      <c r="I42" s="315"/>
      <c r="J42" s="315"/>
      <c r="K42" s="315"/>
      <c r="L42" s="316"/>
      <c r="M42" s="311"/>
      <c r="N42" s="312"/>
      <c r="O42" s="313"/>
      <c r="P42" s="7"/>
      <c r="Q42" s="4"/>
      <c r="R42" s="22"/>
      <c r="S42" s="22"/>
      <c r="T42" s="17"/>
      <c r="U42" s="23"/>
    </row>
    <row r="43" spans="1:21" ht="24" customHeight="1">
      <c r="A43" s="38"/>
      <c r="B43" s="117" t="s">
        <v>92</v>
      </c>
      <c r="C43" s="138"/>
      <c r="D43" s="273"/>
      <c r="E43" s="274"/>
      <c r="F43" s="274"/>
      <c r="G43" s="274"/>
      <c r="H43" s="273"/>
      <c r="I43" s="274"/>
      <c r="J43" s="274"/>
      <c r="K43" s="274"/>
      <c r="L43" s="310"/>
      <c r="M43" s="311"/>
      <c r="N43" s="312"/>
      <c r="O43" s="313"/>
      <c r="P43" s="7"/>
      <c r="Q43" s="4"/>
      <c r="R43" s="22"/>
      <c r="S43" s="22"/>
      <c r="T43" s="17"/>
      <c r="U43" s="23"/>
    </row>
    <row r="44" spans="1:21" ht="24" customHeight="1">
      <c r="A44" s="38"/>
      <c r="B44" s="117" t="s">
        <v>93</v>
      </c>
      <c r="C44" s="138"/>
      <c r="D44" s="273"/>
      <c r="E44" s="274"/>
      <c r="F44" s="274"/>
      <c r="G44" s="274"/>
      <c r="H44" s="317"/>
      <c r="I44" s="318"/>
      <c r="J44" s="318"/>
      <c r="K44" s="318"/>
      <c r="L44" s="310"/>
      <c r="M44" s="311"/>
      <c r="N44" s="312"/>
      <c r="O44" s="313"/>
      <c r="P44" s="7"/>
      <c r="Q44" s="4"/>
      <c r="R44" s="22"/>
      <c r="S44" s="22"/>
      <c r="T44" s="17"/>
      <c r="U44" s="23"/>
    </row>
    <row r="45" spans="1:21" ht="24" customHeight="1">
      <c r="A45" s="38"/>
      <c r="B45" s="117" t="s">
        <v>94</v>
      </c>
      <c r="C45" s="138"/>
      <c r="D45" s="273"/>
      <c r="E45" s="274"/>
      <c r="F45" s="274"/>
      <c r="G45" s="274"/>
      <c r="H45" s="317"/>
      <c r="I45" s="318"/>
      <c r="J45" s="318"/>
      <c r="K45" s="318"/>
      <c r="L45" s="310"/>
      <c r="M45" s="311"/>
      <c r="N45" s="312"/>
      <c r="O45" s="313"/>
      <c r="P45" s="7"/>
      <c r="Q45" s="4"/>
      <c r="R45" s="22"/>
      <c r="S45" s="22"/>
      <c r="T45" s="17"/>
      <c r="U45" s="23"/>
    </row>
    <row r="46" spans="1:21" ht="24" customHeight="1">
      <c r="A46" s="38"/>
      <c r="B46" s="117" t="s">
        <v>95</v>
      </c>
      <c r="C46" s="138"/>
      <c r="D46" s="273"/>
      <c r="E46" s="274"/>
      <c r="F46" s="274"/>
      <c r="G46" s="274"/>
      <c r="H46" s="317"/>
      <c r="I46" s="318"/>
      <c r="J46" s="318"/>
      <c r="K46" s="318"/>
      <c r="L46" s="310"/>
      <c r="M46" s="311"/>
      <c r="N46" s="312"/>
      <c r="O46" s="313"/>
      <c r="P46" s="7"/>
      <c r="Q46" s="4"/>
      <c r="R46" s="22"/>
      <c r="S46" s="22"/>
      <c r="T46" s="17"/>
      <c r="U46" s="23"/>
    </row>
    <row r="47" spans="1:21" ht="24" customHeight="1">
      <c r="A47" s="38"/>
      <c r="B47" s="117" t="s">
        <v>96</v>
      </c>
      <c r="C47" s="138"/>
      <c r="D47" s="273"/>
      <c r="E47" s="274"/>
      <c r="F47" s="274"/>
      <c r="G47" s="274"/>
      <c r="H47" s="273"/>
      <c r="I47" s="274"/>
      <c r="J47" s="274"/>
      <c r="K47" s="274"/>
      <c r="L47" s="310"/>
      <c r="M47" s="311"/>
      <c r="N47" s="312"/>
      <c r="O47" s="313"/>
      <c r="P47" s="7"/>
      <c r="Q47" s="4"/>
      <c r="R47" s="22"/>
      <c r="S47" s="22"/>
      <c r="T47" s="17"/>
      <c r="U47" s="23"/>
    </row>
    <row r="48" spans="1:21" ht="24" customHeight="1">
      <c r="A48" s="38"/>
      <c r="B48" s="117" t="s">
        <v>97</v>
      </c>
      <c r="C48" s="138"/>
      <c r="D48" s="273"/>
      <c r="E48" s="274"/>
      <c r="F48" s="274"/>
      <c r="G48" s="274"/>
      <c r="H48" s="273"/>
      <c r="I48" s="274"/>
      <c r="J48" s="274"/>
      <c r="K48" s="274"/>
      <c r="L48" s="310"/>
      <c r="M48" s="311"/>
      <c r="N48" s="312"/>
      <c r="O48" s="313"/>
      <c r="P48" s="7"/>
      <c r="Q48" s="4"/>
      <c r="R48" s="22"/>
      <c r="S48" s="22"/>
      <c r="T48" s="17"/>
      <c r="U48" s="23"/>
    </row>
    <row r="49" spans="1:21" ht="24" customHeight="1">
      <c r="A49" s="38"/>
      <c r="B49" s="117" t="s">
        <v>64</v>
      </c>
      <c r="C49" s="138"/>
      <c r="D49" s="273"/>
      <c r="E49" s="274"/>
      <c r="F49" s="274"/>
      <c r="G49" s="274"/>
      <c r="H49" s="273"/>
      <c r="I49" s="274"/>
      <c r="J49" s="274"/>
      <c r="K49" s="274"/>
      <c r="L49" s="310"/>
      <c r="M49" s="311"/>
      <c r="N49" s="312"/>
      <c r="O49" s="313"/>
      <c r="P49" s="7"/>
      <c r="Q49" s="4"/>
      <c r="R49" s="22"/>
      <c r="S49" s="22"/>
      <c r="T49" s="17"/>
      <c r="U49" s="23"/>
    </row>
    <row r="50" spans="1:21" ht="24" customHeight="1">
      <c r="A50" s="38"/>
      <c r="B50" s="117" t="s">
        <v>98</v>
      </c>
      <c r="C50" s="138"/>
      <c r="D50" s="273"/>
      <c r="E50" s="274"/>
      <c r="F50" s="274"/>
      <c r="G50" s="274"/>
      <c r="H50" s="273"/>
      <c r="I50" s="274"/>
      <c r="J50" s="274"/>
      <c r="K50" s="274"/>
      <c r="L50" s="310"/>
      <c r="M50" s="311"/>
      <c r="N50" s="312"/>
      <c r="O50" s="313"/>
      <c r="P50" s="7"/>
      <c r="Q50" s="4"/>
      <c r="R50" s="22"/>
      <c r="S50" s="22"/>
      <c r="T50" s="17"/>
      <c r="U50" s="23"/>
    </row>
    <row r="51" spans="1:21" ht="24" customHeight="1">
      <c r="A51" s="38"/>
      <c r="B51" s="117" t="s">
        <v>99</v>
      </c>
      <c r="C51" s="138"/>
      <c r="D51" s="273"/>
      <c r="E51" s="274"/>
      <c r="F51" s="274"/>
      <c r="G51" s="274"/>
      <c r="H51" s="273"/>
      <c r="I51" s="274"/>
      <c r="J51" s="274"/>
      <c r="K51" s="274"/>
      <c r="L51" s="310"/>
      <c r="M51" s="311"/>
      <c r="N51" s="312"/>
      <c r="O51" s="313"/>
      <c r="P51" s="7"/>
      <c r="Q51" s="4"/>
      <c r="R51" s="22"/>
      <c r="S51" s="22"/>
      <c r="T51" s="17"/>
      <c r="U51" s="23"/>
    </row>
    <row r="52" spans="1:21" ht="24" customHeight="1" thickBot="1">
      <c r="A52" s="38"/>
      <c r="B52" s="140" t="s">
        <v>100</v>
      </c>
      <c r="C52" s="118"/>
      <c r="D52" s="306"/>
      <c r="E52" s="306"/>
      <c r="F52" s="306"/>
      <c r="G52" s="306"/>
      <c r="H52" s="306"/>
      <c r="I52" s="306"/>
      <c r="J52" s="306"/>
      <c r="K52" s="306"/>
      <c r="L52" s="307"/>
      <c r="M52" s="307"/>
      <c r="N52" s="308"/>
      <c r="O52" s="309"/>
      <c r="P52" s="7"/>
      <c r="Q52" s="4"/>
      <c r="R52" s="22"/>
      <c r="S52" s="22"/>
      <c r="T52" s="17"/>
      <c r="U52" s="23"/>
    </row>
    <row r="53" spans="1:21" ht="16.5" thickBot="1">
      <c r="A53" s="32"/>
      <c r="B53" s="73"/>
      <c r="C53" s="73"/>
      <c r="D53" s="73"/>
      <c r="E53" s="74"/>
      <c r="F53" s="73"/>
      <c r="G53" s="73"/>
      <c r="H53" s="73"/>
      <c r="I53" s="73"/>
      <c r="J53" s="75"/>
      <c r="K53" s="272"/>
      <c r="L53" s="272"/>
      <c r="M53" s="272"/>
      <c r="N53" s="272"/>
      <c r="O53" s="73"/>
      <c r="P53" s="36"/>
      <c r="Q53" s="14"/>
      <c r="R53" s="17"/>
      <c r="S53" s="17"/>
      <c r="T53" s="17"/>
      <c r="U53" s="17"/>
    </row>
    <row r="54" spans="1:21" ht="69" customHeight="1">
      <c r="A54" s="32"/>
      <c r="B54" s="319" t="s">
        <v>101</v>
      </c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1"/>
      <c r="P54" s="36"/>
      <c r="Q54" s="14"/>
      <c r="R54" s="17"/>
      <c r="S54" s="17"/>
      <c r="T54" s="17"/>
      <c r="U54" s="17"/>
    </row>
    <row r="55" spans="1:21" ht="25.5" customHeight="1">
      <c r="A55" s="32"/>
      <c r="B55" s="322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4"/>
      <c r="P55" s="36"/>
      <c r="Q55" s="14"/>
      <c r="R55" s="17"/>
      <c r="S55" s="17"/>
      <c r="T55" s="17"/>
      <c r="U55" s="17"/>
    </row>
    <row r="56" spans="1:21" ht="16" thickBot="1">
      <c r="A56" s="32"/>
      <c r="B56" s="325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7"/>
      <c r="P56" s="36"/>
      <c r="Q56" s="14"/>
      <c r="R56" s="17"/>
      <c r="S56" s="17"/>
      <c r="T56" s="17"/>
      <c r="U56" s="17"/>
    </row>
    <row r="57" spans="1:21" ht="9" customHeight="1">
      <c r="A57" s="32"/>
      <c r="B57" s="84"/>
      <c r="C57" s="55"/>
      <c r="D57" s="85"/>
      <c r="E57" s="86"/>
      <c r="F57" s="85"/>
      <c r="G57" s="85"/>
      <c r="H57" s="85"/>
      <c r="I57" s="85"/>
      <c r="J57" s="87"/>
      <c r="K57" s="88"/>
      <c r="L57" s="88"/>
      <c r="M57" s="88"/>
      <c r="N57" s="88"/>
      <c r="O57" s="73"/>
      <c r="P57" s="36"/>
      <c r="Q57" s="14"/>
      <c r="R57" s="17"/>
      <c r="S57" s="17"/>
      <c r="T57" s="17"/>
      <c r="U57" s="17"/>
    </row>
    <row r="58" spans="1:21" ht="5.25" customHeight="1" thickBot="1">
      <c r="A58" s="39"/>
      <c r="B58" s="89"/>
      <c r="C58" s="56"/>
      <c r="D58" s="90"/>
      <c r="E58" s="91"/>
      <c r="F58" s="90"/>
      <c r="G58" s="90"/>
      <c r="H58" s="90"/>
      <c r="I58" s="90"/>
      <c r="J58" s="92"/>
      <c r="K58" s="93"/>
      <c r="L58" s="93"/>
      <c r="M58" s="93"/>
      <c r="N58" s="93"/>
      <c r="O58" s="90"/>
      <c r="P58" s="40"/>
      <c r="Q58" s="14"/>
      <c r="R58" s="17"/>
      <c r="S58" s="17"/>
      <c r="T58" s="17"/>
      <c r="U58" s="17"/>
    </row>
  </sheetData>
  <mergeCells count="74">
    <mergeCell ref="B54:O56"/>
    <mergeCell ref="H47:K47"/>
    <mergeCell ref="L47:M47"/>
    <mergeCell ref="N47:O47"/>
    <mergeCell ref="D50:G50"/>
    <mergeCell ref="H50:K50"/>
    <mergeCell ref="L50:M50"/>
    <mergeCell ref="N50:O50"/>
    <mergeCell ref="L48:M48"/>
    <mergeCell ref="N48:O48"/>
    <mergeCell ref="D49:G49"/>
    <mergeCell ref="H49:K49"/>
    <mergeCell ref="L49:M49"/>
    <mergeCell ref="N49:O49"/>
    <mergeCell ref="H51:K51"/>
    <mergeCell ref="L51:M51"/>
    <mergeCell ref="N43:O43"/>
    <mergeCell ref="D51:G51"/>
    <mergeCell ref="N51:O51"/>
    <mergeCell ref="D44:G44"/>
    <mergeCell ref="H44:K44"/>
    <mergeCell ref="L44:M44"/>
    <mergeCell ref="N44:O44"/>
    <mergeCell ref="D45:G45"/>
    <mergeCell ref="H45:K45"/>
    <mergeCell ref="L45:M45"/>
    <mergeCell ref="N45:O45"/>
    <mergeCell ref="D46:G46"/>
    <mergeCell ref="H46:K46"/>
    <mergeCell ref="L46:M46"/>
    <mergeCell ref="N46:O46"/>
    <mergeCell ref="D47:G47"/>
    <mergeCell ref="N17:N18"/>
    <mergeCell ref="O12:O15"/>
    <mergeCell ref="D52:G52"/>
    <mergeCell ref="H52:K52"/>
    <mergeCell ref="L52:M52"/>
    <mergeCell ref="N52:O52"/>
    <mergeCell ref="H41:K41"/>
    <mergeCell ref="L41:M41"/>
    <mergeCell ref="N41:O41"/>
    <mergeCell ref="D42:G42"/>
    <mergeCell ref="H42:K42"/>
    <mergeCell ref="L42:M42"/>
    <mergeCell ref="N42:O42"/>
    <mergeCell ref="D43:G43"/>
    <mergeCell ref="H43:K43"/>
    <mergeCell ref="L43:M43"/>
    <mergeCell ref="B38:O38"/>
    <mergeCell ref="D40:G40"/>
    <mergeCell ref="H40:K40"/>
    <mergeCell ref="L40:M40"/>
    <mergeCell ref="N40:O40"/>
    <mergeCell ref="E7:G7"/>
    <mergeCell ref="J7:K7"/>
    <mergeCell ref="N7:O7"/>
    <mergeCell ref="H7:I7"/>
    <mergeCell ref="B9:O9"/>
    <mergeCell ref="K53:N53"/>
    <mergeCell ref="D41:G41"/>
    <mergeCell ref="A1:P1"/>
    <mergeCell ref="D48:G48"/>
    <mergeCell ref="H48:K48"/>
    <mergeCell ref="M17:M18"/>
    <mergeCell ref="B3:D3"/>
    <mergeCell ref="B4:D4"/>
    <mergeCell ref="B5:D5"/>
    <mergeCell ref="B6:D6"/>
    <mergeCell ref="B7:D7"/>
    <mergeCell ref="L7:M7"/>
    <mergeCell ref="E3:O3"/>
    <mergeCell ref="E4:O4"/>
    <mergeCell ref="E5:O5"/>
    <mergeCell ref="E6:O6"/>
  </mergeCells>
  <phoneticPr fontId="35" type="noConversion"/>
  <conditionalFormatting sqref="C2">
    <cfRule type="expression" dxfId="27" priority="11" stopIfTrue="1">
      <formula>B2=1</formula>
    </cfRule>
    <cfRule type="expression" dxfId="26" priority="12" stopIfTrue="1">
      <formula>B2=2</formula>
    </cfRule>
    <cfRule type="expression" dxfId="25" priority="13" stopIfTrue="1">
      <formula>B2=3</formula>
    </cfRule>
  </conditionalFormatting>
  <conditionalFormatting sqref="K2">
    <cfRule type="expression" dxfId="24" priority="17" stopIfTrue="1">
      <formula>J3=1</formula>
    </cfRule>
    <cfRule type="expression" dxfId="23" priority="18" stopIfTrue="1">
      <formula>J3=2</formula>
    </cfRule>
    <cfRule type="expression" dxfId="22" priority="19" stopIfTrue="1">
      <formula>J3=3</formula>
    </cfRule>
  </conditionalFormatting>
  <conditionalFormatting sqref="O12">
    <cfRule type="cellIs" dxfId="21" priority="1" operator="between">
      <formula>0</formula>
      <formula>81.9</formula>
    </cfRule>
    <cfRule type="cellIs" dxfId="20" priority="2" operator="between">
      <formula>82</formula>
      <formula>91.9</formula>
    </cfRule>
    <cfRule type="cellIs" dxfId="19" priority="3" operator="greaterThanOrEqual">
      <formula>92</formula>
    </cfRule>
  </conditionalFormatting>
  <dataValidations count="1">
    <dataValidation type="list" allowBlank="1" showInputMessage="1" showErrorMessage="1" sqref="N7:O7" xr:uid="{00000000-0002-0000-0100-000000000000}">
      <formula1>"Enero, Febrero, Marzo, Abril, Mayo, Junio, Julio, Agosto, Setiembre, Octubre, Noviembre, Diciembre"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G32"/>
  <sheetViews>
    <sheetView showGridLines="0" showWhiteSpace="0" view="pageBreakPreview" topLeftCell="A11" zoomScale="60" zoomScaleNormal="70" zoomScalePageLayoutView="70" workbookViewId="0">
      <selection activeCell="P13" sqref="P13:Q22"/>
    </sheetView>
  </sheetViews>
  <sheetFormatPr baseColWidth="10" defaultColWidth="11.453125" defaultRowHeight="12.5"/>
  <cols>
    <col min="1" max="1" width="4" style="119" customWidth="1"/>
    <col min="2" max="2" width="17.54296875" style="119" customWidth="1"/>
    <col min="3" max="3" width="32.453125" style="119" customWidth="1"/>
    <col min="4" max="4" width="23.81640625" style="119" customWidth="1"/>
    <col min="5" max="5" width="15.26953125" style="119" customWidth="1"/>
    <col min="6" max="17" width="5.7265625" style="119" customWidth="1"/>
    <col min="18" max="18" width="18.7265625" style="119" customWidth="1"/>
    <col min="19" max="21" width="14.81640625" style="119" customWidth="1"/>
    <col min="22" max="22" width="17.26953125" style="119" customWidth="1"/>
    <col min="23" max="23" width="17.54296875" style="119" customWidth="1"/>
    <col min="24" max="24" width="14.81640625" style="119" customWidth="1"/>
    <col min="25" max="25" width="25.81640625" style="119" customWidth="1"/>
    <col min="26" max="26" width="16" style="119" customWidth="1"/>
    <col min="27" max="27" width="10.26953125" style="119" customWidth="1"/>
    <col min="28" max="258" width="10.81640625" style="119"/>
    <col min="259" max="259" width="4" style="119" customWidth="1"/>
    <col min="260" max="260" width="17.54296875" style="119" customWidth="1"/>
    <col min="261" max="261" width="21.7265625" style="119" customWidth="1"/>
    <col min="262" max="262" width="23.81640625" style="119" customWidth="1"/>
    <col min="263" max="263" width="15.26953125" style="119" customWidth="1"/>
    <col min="264" max="275" width="5.7265625" style="119" customWidth="1"/>
    <col min="276" max="276" width="14.81640625" style="119" customWidth="1"/>
    <col min="277" max="277" width="17.26953125" style="119" customWidth="1"/>
    <col min="278" max="278" width="17.54296875" style="119" customWidth="1"/>
    <col min="279" max="279" width="14.81640625" style="119" customWidth="1"/>
    <col min="280" max="280" width="21.453125" style="119" customWidth="1"/>
    <col min="281" max="281" width="16" style="119" customWidth="1"/>
    <col min="282" max="282" width="10.26953125" style="119" customWidth="1"/>
    <col min="283" max="514" width="10.81640625" style="119"/>
    <col min="515" max="515" width="4" style="119" customWidth="1"/>
    <col min="516" max="516" width="17.54296875" style="119" customWidth="1"/>
    <col min="517" max="517" width="21.7265625" style="119" customWidth="1"/>
    <col min="518" max="518" width="23.81640625" style="119" customWidth="1"/>
    <col min="519" max="519" width="15.26953125" style="119" customWidth="1"/>
    <col min="520" max="531" width="5.7265625" style="119" customWidth="1"/>
    <col min="532" max="532" width="14.81640625" style="119" customWidth="1"/>
    <col min="533" max="533" width="17.26953125" style="119" customWidth="1"/>
    <col min="534" max="534" width="17.54296875" style="119" customWidth="1"/>
    <col min="535" max="535" width="14.81640625" style="119" customWidth="1"/>
    <col min="536" max="536" width="21.453125" style="119" customWidth="1"/>
    <col min="537" max="537" width="16" style="119" customWidth="1"/>
    <col min="538" max="538" width="10.26953125" style="119" customWidth="1"/>
    <col min="539" max="770" width="10.81640625" style="119"/>
    <col min="771" max="771" width="4" style="119" customWidth="1"/>
    <col min="772" max="772" width="17.54296875" style="119" customWidth="1"/>
    <col min="773" max="773" width="21.7265625" style="119" customWidth="1"/>
    <col min="774" max="774" width="23.81640625" style="119" customWidth="1"/>
    <col min="775" max="775" width="15.26953125" style="119" customWidth="1"/>
    <col min="776" max="787" width="5.7265625" style="119" customWidth="1"/>
    <col min="788" max="788" width="14.81640625" style="119" customWidth="1"/>
    <col min="789" max="789" width="17.26953125" style="119" customWidth="1"/>
    <col min="790" max="790" width="17.54296875" style="119" customWidth="1"/>
    <col min="791" max="791" width="14.81640625" style="119" customWidth="1"/>
    <col min="792" max="792" width="21.453125" style="119" customWidth="1"/>
    <col min="793" max="793" width="16" style="119" customWidth="1"/>
    <col min="794" max="794" width="10.26953125" style="119" customWidth="1"/>
    <col min="795" max="1026" width="10.81640625" style="119"/>
    <col min="1027" max="1027" width="4" style="119" customWidth="1"/>
    <col min="1028" max="1028" width="17.54296875" style="119" customWidth="1"/>
    <col min="1029" max="1029" width="21.7265625" style="119" customWidth="1"/>
    <col min="1030" max="1030" width="23.81640625" style="119" customWidth="1"/>
    <col min="1031" max="1031" width="15.26953125" style="119" customWidth="1"/>
    <col min="1032" max="1043" width="5.7265625" style="119" customWidth="1"/>
    <col min="1044" max="1044" width="14.81640625" style="119" customWidth="1"/>
    <col min="1045" max="1045" width="17.26953125" style="119" customWidth="1"/>
    <col min="1046" max="1046" width="17.54296875" style="119" customWidth="1"/>
    <col min="1047" max="1047" width="14.81640625" style="119" customWidth="1"/>
    <col min="1048" max="1048" width="21.453125" style="119" customWidth="1"/>
    <col min="1049" max="1049" width="16" style="119" customWidth="1"/>
    <col min="1050" max="1050" width="10.26953125" style="119" customWidth="1"/>
    <col min="1051" max="1282" width="10.81640625" style="119"/>
    <col min="1283" max="1283" width="4" style="119" customWidth="1"/>
    <col min="1284" max="1284" width="17.54296875" style="119" customWidth="1"/>
    <col min="1285" max="1285" width="21.7265625" style="119" customWidth="1"/>
    <col min="1286" max="1286" width="23.81640625" style="119" customWidth="1"/>
    <col min="1287" max="1287" width="15.26953125" style="119" customWidth="1"/>
    <col min="1288" max="1299" width="5.7265625" style="119" customWidth="1"/>
    <col min="1300" max="1300" width="14.81640625" style="119" customWidth="1"/>
    <col min="1301" max="1301" width="17.26953125" style="119" customWidth="1"/>
    <col min="1302" max="1302" width="17.54296875" style="119" customWidth="1"/>
    <col min="1303" max="1303" width="14.81640625" style="119" customWidth="1"/>
    <col min="1304" max="1304" width="21.453125" style="119" customWidth="1"/>
    <col min="1305" max="1305" width="16" style="119" customWidth="1"/>
    <col min="1306" max="1306" width="10.26953125" style="119" customWidth="1"/>
    <col min="1307" max="1538" width="10.81640625" style="119"/>
    <col min="1539" max="1539" width="4" style="119" customWidth="1"/>
    <col min="1540" max="1540" width="17.54296875" style="119" customWidth="1"/>
    <col min="1541" max="1541" width="21.7265625" style="119" customWidth="1"/>
    <col min="1542" max="1542" width="23.81640625" style="119" customWidth="1"/>
    <col min="1543" max="1543" width="15.26953125" style="119" customWidth="1"/>
    <col min="1544" max="1555" width="5.7265625" style="119" customWidth="1"/>
    <col min="1556" max="1556" width="14.81640625" style="119" customWidth="1"/>
    <col min="1557" max="1557" width="17.26953125" style="119" customWidth="1"/>
    <col min="1558" max="1558" width="17.54296875" style="119" customWidth="1"/>
    <col min="1559" max="1559" width="14.81640625" style="119" customWidth="1"/>
    <col min="1560" max="1560" width="21.453125" style="119" customWidth="1"/>
    <col min="1561" max="1561" width="16" style="119" customWidth="1"/>
    <col min="1562" max="1562" width="10.26953125" style="119" customWidth="1"/>
    <col min="1563" max="1794" width="10.81640625" style="119"/>
    <col min="1795" max="1795" width="4" style="119" customWidth="1"/>
    <col min="1796" max="1796" width="17.54296875" style="119" customWidth="1"/>
    <col min="1797" max="1797" width="21.7265625" style="119" customWidth="1"/>
    <col min="1798" max="1798" width="23.81640625" style="119" customWidth="1"/>
    <col min="1799" max="1799" width="15.26953125" style="119" customWidth="1"/>
    <col min="1800" max="1811" width="5.7265625" style="119" customWidth="1"/>
    <col min="1812" max="1812" width="14.81640625" style="119" customWidth="1"/>
    <col min="1813" max="1813" width="17.26953125" style="119" customWidth="1"/>
    <col min="1814" max="1814" width="17.54296875" style="119" customWidth="1"/>
    <col min="1815" max="1815" width="14.81640625" style="119" customWidth="1"/>
    <col min="1816" max="1816" width="21.453125" style="119" customWidth="1"/>
    <col min="1817" max="1817" width="16" style="119" customWidth="1"/>
    <col min="1818" max="1818" width="10.26953125" style="119" customWidth="1"/>
    <col min="1819" max="2050" width="10.81640625" style="119"/>
    <col min="2051" max="2051" width="4" style="119" customWidth="1"/>
    <col min="2052" max="2052" width="17.54296875" style="119" customWidth="1"/>
    <col min="2053" max="2053" width="21.7265625" style="119" customWidth="1"/>
    <col min="2054" max="2054" width="23.81640625" style="119" customWidth="1"/>
    <col min="2055" max="2055" width="15.26953125" style="119" customWidth="1"/>
    <col min="2056" max="2067" width="5.7265625" style="119" customWidth="1"/>
    <col min="2068" max="2068" width="14.81640625" style="119" customWidth="1"/>
    <col min="2069" max="2069" width="17.26953125" style="119" customWidth="1"/>
    <col min="2070" max="2070" width="17.54296875" style="119" customWidth="1"/>
    <col min="2071" max="2071" width="14.81640625" style="119" customWidth="1"/>
    <col min="2072" max="2072" width="21.453125" style="119" customWidth="1"/>
    <col min="2073" max="2073" width="16" style="119" customWidth="1"/>
    <col min="2074" max="2074" width="10.26953125" style="119" customWidth="1"/>
    <col min="2075" max="2306" width="10.81640625" style="119"/>
    <col min="2307" max="2307" width="4" style="119" customWidth="1"/>
    <col min="2308" max="2308" width="17.54296875" style="119" customWidth="1"/>
    <col min="2309" max="2309" width="21.7265625" style="119" customWidth="1"/>
    <col min="2310" max="2310" width="23.81640625" style="119" customWidth="1"/>
    <col min="2311" max="2311" width="15.26953125" style="119" customWidth="1"/>
    <col min="2312" max="2323" width="5.7265625" style="119" customWidth="1"/>
    <col min="2324" max="2324" width="14.81640625" style="119" customWidth="1"/>
    <col min="2325" max="2325" width="17.26953125" style="119" customWidth="1"/>
    <col min="2326" max="2326" width="17.54296875" style="119" customWidth="1"/>
    <col min="2327" max="2327" width="14.81640625" style="119" customWidth="1"/>
    <col min="2328" max="2328" width="21.453125" style="119" customWidth="1"/>
    <col min="2329" max="2329" width="16" style="119" customWidth="1"/>
    <col min="2330" max="2330" width="10.26953125" style="119" customWidth="1"/>
    <col min="2331" max="2562" width="10.81640625" style="119"/>
    <col min="2563" max="2563" width="4" style="119" customWidth="1"/>
    <col min="2564" max="2564" width="17.54296875" style="119" customWidth="1"/>
    <col min="2565" max="2565" width="21.7265625" style="119" customWidth="1"/>
    <col min="2566" max="2566" width="23.81640625" style="119" customWidth="1"/>
    <col min="2567" max="2567" width="15.26953125" style="119" customWidth="1"/>
    <col min="2568" max="2579" width="5.7265625" style="119" customWidth="1"/>
    <col min="2580" max="2580" width="14.81640625" style="119" customWidth="1"/>
    <col min="2581" max="2581" width="17.26953125" style="119" customWidth="1"/>
    <col min="2582" max="2582" width="17.54296875" style="119" customWidth="1"/>
    <col min="2583" max="2583" width="14.81640625" style="119" customWidth="1"/>
    <col min="2584" max="2584" width="21.453125" style="119" customWidth="1"/>
    <col min="2585" max="2585" width="16" style="119" customWidth="1"/>
    <col min="2586" max="2586" width="10.26953125" style="119" customWidth="1"/>
    <col min="2587" max="2818" width="10.81640625" style="119"/>
    <col min="2819" max="2819" width="4" style="119" customWidth="1"/>
    <col min="2820" max="2820" width="17.54296875" style="119" customWidth="1"/>
    <col min="2821" max="2821" width="21.7265625" style="119" customWidth="1"/>
    <col min="2822" max="2822" width="23.81640625" style="119" customWidth="1"/>
    <col min="2823" max="2823" width="15.26953125" style="119" customWidth="1"/>
    <col min="2824" max="2835" width="5.7265625" style="119" customWidth="1"/>
    <col min="2836" max="2836" width="14.81640625" style="119" customWidth="1"/>
    <col min="2837" max="2837" width="17.26953125" style="119" customWidth="1"/>
    <col min="2838" max="2838" width="17.54296875" style="119" customWidth="1"/>
    <col min="2839" max="2839" width="14.81640625" style="119" customWidth="1"/>
    <col min="2840" max="2840" width="21.453125" style="119" customWidth="1"/>
    <col min="2841" max="2841" width="16" style="119" customWidth="1"/>
    <col min="2842" max="2842" width="10.26953125" style="119" customWidth="1"/>
    <col min="2843" max="3074" width="10.81640625" style="119"/>
    <col min="3075" max="3075" width="4" style="119" customWidth="1"/>
    <col min="3076" max="3076" width="17.54296875" style="119" customWidth="1"/>
    <col min="3077" max="3077" width="21.7265625" style="119" customWidth="1"/>
    <col min="3078" max="3078" width="23.81640625" style="119" customWidth="1"/>
    <col min="3079" max="3079" width="15.26953125" style="119" customWidth="1"/>
    <col min="3080" max="3091" width="5.7265625" style="119" customWidth="1"/>
    <col min="3092" max="3092" width="14.81640625" style="119" customWidth="1"/>
    <col min="3093" max="3093" width="17.26953125" style="119" customWidth="1"/>
    <col min="3094" max="3094" width="17.54296875" style="119" customWidth="1"/>
    <col min="3095" max="3095" width="14.81640625" style="119" customWidth="1"/>
    <col min="3096" max="3096" width="21.453125" style="119" customWidth="1"/>
    <col min="3097" max="3097" width="16" style="119" customWidth="1"/>
    <col min="3098" max="3098" width="10.26953125" style="119" customWidth="1"/>
    <col min="3099" max="3330" width="10.81640625" style="119"/>
    <col min="3331" max="3331" width="4" style="119" customWidth="1"/>
    <col min="3332" max="3332" width="17.54296875" style="119" customWidth="1"/>
    <col min="3333" max="3333" width="21.7265625" style="119" customWidth="1"/>
    <col min="3334" max="3334" width="23.81640625" style="119" customWidth="1"/>
    <col min="3335" max="3335" width="15.26953125" style="119" customWidth="1"/>
    <col min="3336" max="3347" width="5.7265625" style="119" customWidth="1"/>
    <col min="3348" max="3348" width="14.81640625" style="119" customWidth="1"/>
    <col min="3349" max="3349" width="17.26953125" style="119" customWidth="1"/>
    <col min="3350" max="3350" width="17.54296875" style="119" customWidth="1"/>
    <col min="3351" max="3351" width="14.81640625" style="119" customWidth="1"/>
    <col min="3352" max="3352" width="21.453125" style="119" customWidth="1"/>
    <col min="3353" max="3353" width="16" style="119" customWidth="1"/>
    <col min="3354" max="3354" width="10.26953125" style="119" customWidth="1"/>
    <col min="3355" max="3586" width="10.81640625" style="119"/>
    <col min="3587" max="3587" width="4" style="119" customWidth="1"/>
    <col min="3588" max="3588" width="17.54296875" style="119" customWidth="1"/>
    <col min="3589" max="3589" width="21.7265625" style="119" customWidth="1"/>
    <col min="3590" max="3590" width="23.81640625" style="119" customWidth="1"/>
    <col min="3591" max="3591" width="15.26953125" style="119" customWidth="1"/>
    <col min="3592" max="3603" width="5.7265625" style="119" customWidth="1"/>
    <col min="3604" max="3604" width="14.81640625" style="119" customWidth="1"/>
    <col min="3605" max="3605" width="17.26953125" style="119" customWidth="1"/>
    <col min="3606" max="3606" width="17.54296875" style="119" customWidth="1"/>
    <col min="3607" max="3607" width="14.81640625" style="119" customWidth="1"/>
    <col min="3608" max="3608" width="21.453125" style="119" customWidth="1"/>
    <col min="3609" max="3609" width="16" style="119" customWidth="1"/>
    <col min="3610" max="3610" width="10.26953125" style="119" customWidth="1"/>
    <col min="3611" max="3842" width="10.81640625" style="119"/>
    <col min="3843" max="3843" width="4" style="119" customWidth="1"/>
    <col min="3844" max="3844" width="17.54296875" style="119" customWidth="1"/>
    <col min="3845" max="3845" width="21.7265625" style="119" customWidth="1"/>
    <col min="3846" max="3846" width="23.81640625" style="119" customWidth="1"/>
    <col min="3847" max="3847" width="15.26953125" style="119" customWidth="1"/>
    <col min="3848" max="3859" width="5.7265625" style="119" customWidth="1"/>
    <col min="3860" max="3860" width="14.81640625" style="119" customWidth="1"/>
    <col min="3861" max="3861" width="17.26953125" style="119" customWidth="1"/>
    <col min="3862" max="3862" width="17.54296875" style="119" customWidth="1"/>
    <col min="3863" max="3863" width="14.81640625" style="119" customWidth="1"/>
    <col min="3864" max="3864" width="21.453125" style="119" customWidth="1"/>
    <col min="3865" max="3865" width="16" style="119" customWidth="1"/>
    <col min="3866" max="3866" width="10.26953125" style="119" customWidth="1"/>
    <col min="3867" max="4098" width="10.81640625" style="119"/>
    <col min="4099" max="4099" width="4" style="119" customWidth="1"/>
    <col min="4100" max="4100" width="17.54296875" style="119" customWidth="1"/>
    <col min="4101" max="4101" width="21.7265625" style="119" customWidth="1"/>
    <col min="4102" max="4102" width="23.81640625" style="119" customWidth="1"/>
    <col min="4103" max="4103" width="15.26953125" style="119" customWidth="1"/>
    <col min="4104" max="4115" width="5.7265625" style="119" customWidth="1"/>
    <col min="4116" max="4116" width="14.81640625" style="119" customWidth="1"/>
    <col min="4117" max="4117" width="17.26953125" style="119" customWidth="1"/>
    <col min="4118" max="4118" width="17.54296875" style="119" customWidth="1"/>
    <col min="4119" max="4119" width="14.81640625" style="119" customWidth="1"/>
    <col min="4120" max="4120" width="21.453125" style="119" customWidth="1"/>
    <col min="4121" max="4121" width="16" style="119" customWidth="1"/>
    <col min="4122" max="4122" width="10.26953125" style="119" customWidth="1"/>
    <col min="4123" max="4354" width="10.81640625" style="119"/>
    <col min="4355" max="4355" width="4" style="119" customWidth="1"/>
    <col min="4356" max="4356" width="17.54296875" style="119" customWidth="1"/>
    <col min="4357" max="4357" width="21.7265625" style="119" customWidth="1"/>
    <col min="4358" max="4358" width="23.81640625" style="119" customWidth="1"/>
    <col min="4359" max="4359" width="15.26953125" style="119" customWidth="1"/>
    <col min="4360" max="4371" width="5.7265625" style="119" customWidth="1"/>
    <col min="4372" max="4372" width="14.81640625" style="119" customWidth="1"/>
    <col min="4373" max="4373" width="17.26953125" style="119" customWidth="1"/>
    <col min="4374" max="4374" width="17.54296875" style="119" customWidth="1"/>
    <col min="4375" max="4375" width="14.81640625" style="119" customWidth="1"/>
    <col min="4376" max="4376" width="21.453125" style="119" customWidth="1"/>
    <col min="4377" max="4377" width="16" style="119" customWidth="1"/>
    <col min="4378" max="4378" width="10.26953125" style="119" customWidth="1"/>
    <col min="4379" max="4610" width="10.81640625" style="119"/>
    <col min="4611" max="4611" width="4" style="119" customWidth="1"/>
    <col min="4612" max="4612" width="17.54296875" style="119" customWidth="1"/>
    <col min="4613" max="4613" width="21.7265625" style="119" customWidth="1"/>
    <col min="4614" max="4614" width="23.81640625" style="119" customWidth="1"/>
    <col min="4615" max="4615" width="15.26953125" style="119" customWidth="1"/>
    <col min="4616" max="4627" width="5.7265625" style="119" customWidth="1"/>
    <col min="4628" max="4628" width="14.81640625" style="119" customWidth="1"/>
    <col min="4629" max="4629" width="17.26953125" style="119" customWidth="1"/>
    <col min="4630" max="4630" width="17.54296875" style="119" customWidth="1"/>
    <col min="4631" max="4631" width="14.81640625" style="119" customWidth="1"/>
    <col min="4632" max="4632" width="21.453125" style="119" customWidth="1"/>
    <col min="4633" max="4633" width="16" style="119" customWidth="1"/>
    <col min="4634" max="4634" width="10.26953125" style="119" customWidth="1"/>
    <col min="4635" max="4866" width="10.81640625" style="119"/>
    <col min="4867" max="4867" width="4" style="119" customWidth="1"/>
    <col min="4868" max="4868" width="17.54296875" style="119" customWidth="1"/>
    <col min="4869" max="4869" width="21.7265625" style="119" customWidth="1"/>
    <col min="4870" max="4870" width="23.81640625" style="119" customWidth="1"/>
    <col min="4871" max="4871" width="15.26953125" style="119" customWidth="1"/>
    <col min="4872" max="4883" width="5.7265625" style="119" customWidth="1"/>
    <col min="4884" max="4884" width="14.81640625" style="119" customWidth="1"/>
    <col min="4885" max="4885" width="17.26953125" style="119" customWidth="1"/>
    <col min="4886" max="4886" width="17.54296875" style="119" customWidth="1"/>
    <col min="4887" max="4887" width="14.81640625" style="119" customWidth="1"/>
    <col min="4888" max="4888" width="21.453125" style="119" customWidth="1"/>
    <col min="4889" max="4889" width="16" style="119" customWidth="1"/>
    <col min="4890" max="4890" width="10.26953125" style="119" customWidth="1"/>
    <col min="4891" max="5122" width="10.81640625" style="119"/>
    <col min="5123" max="5123" width="4" style="119" customWidth="1"/>
    <col min="5124" max="5124" width="17.54296875" style="119" customWidth="1"/>
    <col min="5125" max="5125" width="21.7265625" style="119" customWidth="1"/>
    <col min="5126" max="5126" width="23.81640625" style="119" customWidth="1"/>
    <col min="5127" max="5127" width="15.26953125" style="119" customWidth="1"/>
    <col min="5128" max="5139" width="5.7265625" style="119" customWidth="1"/>
    <col min="5140" max="5140" width="14.81640625" style="119" customWidth="1"/>
    <col min="5141" max="5141" width="17.26953125" style="119" customWidth="1"/>
    <col min="5142" max="5142" width="17.54296875" style="119" customWidth="1"/>
    <col min="5143" max="5143" width="14.81640625" style="119" customWidth="1"/>
    <col min="5144" max="5144" width="21.453125" style="119" customWidth="1"/>
    <col min="5145" max="5145" width="16" style="119" customWidth="1"/>
    <col min="5146" max="5146" width="10.26953125" style="119" customWidth="1"/>
    <col min="5147" max="5378" width="10.81640625" style="119"/>
    <col min="5379" max="5379" width="4" style="119" customWidth="1"/>
    <col min="5380" max="5380" width="17.54296875" style="119" customWidth="1"/>
    <col min="5381" max="5381" width="21.7265625" style="119" customWidth="1"/>
    <col min="5382" max="5382" width="23.81640625" style="119" customWidth="1"/>
    <col min="5383" max="5383" width="15.26953125" style="119" customWidth="1"/>
    <col min="5384" max="5395" width="5.7265625" style="119" customWidth="1"/>
    <col min="5396" max="5396" width="14.81640625" style="119" customWidth="1"/>
    <col min="5397" max="5397" width="17.26953125" style="119" customWidth="1"/>
    <col min="5398" max="5398" width="17.54296875" style="119" customWidth="1"/>
    <col min="5399" max="5399" width="14.81640625" style="119" customWidth="1"/>
    <col min="5400" max="5400" width="21.453125" style="119" customWidth="1"/>
    <col min="5401" max="5401" width="16" style="119" customWidth="1"/>
    <col min="5402" max="5402" width="10.26953125" style="119" customWidth="1"/>
    <col min="5403" max="5634" width="10.81640625" style="119"/>
    <col min="5635" max="5635" width="4" style="119" customWidth="1"/>
    <col min="5636" max="5636" width="17.54296875" style="119" customWidth="1"/>
    <col min="5637" max="5637" width="21.7265625" style="119" customWidth="1"/>
    <col min="5638" max="5638" width="23.81640625" style="119" customWidth="1"/>
    <col min="5639" max="5639" width="15.26953125" style="119" customWidth="1"/>
    <col min="5640" max="5651" width="5.7265625" style="119" customWidth="1"/>
    <col min="5652" max="5652" width="14.81640625" style="119" customWidth="1"/>
    <col min="5653" max="5653" width="17.26953125" style="119" customWidth="1"/>
    <col min="5654" max="5654" width="17.54296875" style="119" customWidth="1"/>
    <col min="5655" max="5655" width="14.81640625" style="119" customWidth="1"/>
    <col min="5656" max="5656" width="21.453125" style="119" customWidth="1"/>
    <col min="5657" max="5657" width="16" style="119" customWidth="1"/>
    <col min="5658" max="5658" width="10.26953125" style="119" customWidth="1"/>
    <col min="5659" max="5890" width="10.81640625" style="119"/>
    <col min="5891" max="5891" width="4" style="119" customWidth="1"/>
    <col min="5892" max="5892" width="17.54296875" style="119" customWidth="1"/>
    <col min="5893" max="5893" width="21.7265625" style="119" customWidth="1"/>
    <col min="5894" max="5894" width="23.81640625" style="119" customWidth="1"/>
    <col min="5895" max="5895" width="15.26953125" style="119" customWidth="1"/>
    <col min="5896" max="5907" width="5.7265625" style="119" customWidth="1"/>
    <col min="5908" max="5908" width="14.81640625" style="119" customWidth="1"/>
    <col min="5909" max="5909" width="17.26953125" style="119" customWidth="1"/>
    <col min="5910" max="5910" width="17.54296875" style="119" customWidth="1"/>
    <col min="5911" max="5911" width="14.81640625" style="119" customWidth="1"/>
    <col min="5912" max="5912" width="21.453125" style="119" customWidth="1"/>
    <col min="5913" max="5913" width="16" style="119" customWidth="1"/>
    <col min="5914" max="5914" width="10.26953125" style="119" customWidth="1"/>
    <col min="5915" max="6146" width="10.81640625" style="119"/>
    <col min="6147" max="6147" width="4" style="119" customWidth="1"/>
    <col min="6148" max="6148" width="17.54296875" style="119" customWidth="1"/>
    <col min="6149" max="6149" width="21.7265625" style="119" customWidth="1"/>
    <col min="6150" max="6150" width="23.81640625" style="119" customWidth="1"/>
    <col min="6151" max="6151" width="15.26953125" style="119" customWidth="1"/>
    <col min="6152" max="6163" width="5.7265625" style="119" customWidth="1"/>
    <col min="6164" max="6164" width="14.81640625" style="119" customWidth="1"/>
    <col min="6165" max="6165" width="17.26953125" style="119" customWidth="1"/>
    <col min="6166" max="6166" width="17.54296875" style="119" customWidth="1"/>
    <col min="6167" max="6167" width="14.81640625" style="119" customWidth="1"/>
    <col min="6168" max="6168" width="21.453125" style="119" customWidth="1"/>
    <col min="6169" max="6169" width="16" style="119" customWidth="1"/>
    <col min="6170" max="6170" width="10.26953125" style="119" customWidth="1"/>
    <col min="6171" max="6402" width="10.81640625" style="119"/>
    <col min="6403" max="6403" width="4" style="119" customWidth="1"/>
    <col min="6404" max="6404" width="17.54296875" style="119" customWidth="1"/>
    <col min="6405" max="6405" width="21.7265625" style="119" customWidth="1"/>
    <col min="6406" max="6406" width="23.81640625" style="119" customWidth="1"/>
    <col min="6407" max="6407" width="15.26953125" style="119" customWidth="1"/>
    <col min="6408" max="6419" width="5.7265625" style="119" customWidth="1"/>
    <col min="6420" max="6420" width="14.81640625" style="119" customWidth="1"/>
    <col min="6421" max="6421" width="17.26953125" style="119" customWidth="1"/>
    <col min="6422" max="6422" width="17.54296875" style="119" customWidth="1"/>
    <col min="6423" max="6423" width="14.81640625" style="119" customWidth="1"/>
    <col min="6424" max="6424" width="21.453125" style="119" customWidth="1"/>
    <col min="6425" max="6425" width="16" style="119" customWidth="1"/>
    <col min="6426" max="6426" width="10.26953125" style="119" customWidth="1"/>
    <col min="6427" max="6658" width="10.81640625" style="119"/>
    <col min="6659" max="6659" width="4" style="119" customWidth="1"/>
    <col min="6660" max="6660" width="17.54296875" style="119" customWidth="1"/>
    <col min="6661" max="6661" width="21.7265625" style="119" customWidth="1"/>
    <col min="6662" max="6662" width="23.81640625" style="119" customWidth="1"/>
    <col min="6663" max="6663" width="15.26953125" style="119" customWidth="1"/>
    <col min="6664" max="6675" width="5.7265625" style="119" customWidth="1"/>
    <col min="6676" max="6676" width="14.81640625" style="119" customWidth="1"/>
    <col min="6677" max="6677" width="17.26953125" style="119" customWidth="1"/>
    <col min="6678" max="6678" width="17.54296875" style="119" customWidth="1"/>
    <col min="6679" max="6679" width="14.81640625" style="119" customWidth="1"/>
    <col min="6680" max="6680" width="21.453125" style="119" customWidth="1"/>
    <col min="6681" max="6681" width="16" style="119" customWidth="1"/>
    <col min="6682" max="6682" width="10.26953125" style="119" customWidth="1"/>
    <col min="6683" max="6914" width="10.81640625" style="119"/>
    <col min="6915" max="6915" width="4" style="119" customWidth="1"/>
    <col min="6916" max="6916" width="17.54296875" style="119" customWidth="1"/>
    <col min="6917" max="6917" width="21.7265625" style="119" customWidth="1"/>
    <col min="6918" max="6918" width="23.81640625" style="119" customWidth="1"/>
    <col min="6919" max="6919" width="15.26953125" style="119" customWidth="1"/>
    <col min="6920" max="6931" width="5.7265625" style="119" customWidth="1"/>
    <col min="6932" max="6932" width="14.81640625" style="119" customWidth="1"/>
    <col min="6933" max="6933" width="17.26953125" style="119" customWidth="1"/>
    <col min="6934" max="6934" width="17.54296875" style="119" customWidth="1"/>
    <col min="6935" max="6935" width="14.81640625" style="119" customWidth="1"/>
    <col min="6936" max="6936" width="21.453125" style="119" customWidth="1"/>
    <col min="6937" max="6937" width="16" style="119" customWidth="1"/>
    <col min="6938" max="6938" width="10.26953125" style="119" customWidth="1"/>
    <col min="6939" max="7170" width="10.81640625" style="119"/>
    <col min="7171" max="7171" width="4" style="119" customWidth="1"/>
    <col min="7172" max="7172" width="17.54296875" style="119" customWidth="1"/>
    <col min="7173" max="7173" width="21.7265625" style="119" customWidth="1"/>
    <col min="7174" max="7174" width="23.81640625" style="119" customWidth="1"/>
    <col min="7175" max="7175" width="15.26953125" style="119" customWidth="1"/>
    <col min="7176" max="7187" width="5.7265625" style="119" customWidth="1"/>
    <col min="7188" max="7188" width="14.81640625" style="119" customWidth="1"/>
    <col min="7189" max="7189" width="17.26953125" style="119" customWidth="1"/>
    <col min="7190" max="7190" width="17.54296875" style="119" customWidth="1"/>
    <col min="7191" max="7191" width="14.81640625" style="119" customWidth="1"/>
    <col min="7192" max="7192" width="21.453125" style="119" customWidth="1"/>
    <col min="7193" max="7193" width="16" style="119" customWidth="1"/>
    <col min="7194" max="7194" width="10.26953125" style="119" customWidth="1"/>
    <col min="7195" max="7426" width="10.81640625" style="119"/>
    <col min="7427" max="7427" width="4" style="119" customWidth="1"/>
    <col min="7428" max="7428" width="17.54296875" style="119" customWidth="1"/>
    <col min="7429" max="7429" width="21.7265625" style="119" customWidth="1"/>
    <col min="7430" max="7430" width="23.81640625" style="119" customWidth="1"/>
    <col min="7431" max="7431" width="15.26953125" style="119" customWidth="1"/>
    <col min="7432" max="7443" width="5.7265625" style="119" customWidth="1"/>
    <col min="7444" max="7444" width="14.81640625" style="119" customWidth="1"/>
    <col min="7445" max="7445" width="17.26953125" style="119" customWidth="1"/>
    <col min="7446" max="7446" width="17.54296875" style="119" customWidth="1"/>
    <col min="7447" max="7447" width="14.81640625" style="119" customWidth="1"/>
    <col min="7448" max="7448" width="21.453125" style="119" customWidth="1"/>
    <col min="7449" max="7449" width="16" style="119" customWidth="1"/>
    <col min="7450" max="7450" width="10.26953125" style="119" customWidth="1"/>
    <col min="7451" max="7682" width="10.81640625" style="119"/>
    <col min="7683" max="7683" width="4" style="119" customWidth="1"/>
    <col min="7684" max="7684" width="17.54296875" style="119" customWidth="1"/>
    <col min="7685" max="7685" width="21.7265625" style="119" customWidth="1"/>
    <col min="7686" max="7686" width="23.81640625" style="119" customWidth="1"/>
    <col min="7687" max="7687" width="15.26953125" style="119" customWidth="1"/>
    <col min="7688" max="7699" width="5.7265625" style="119" customWidth="1"/>
    <col min="7700" max="7700" width="14.81640625" style="119" customWidth="1"/>
    <col min="7701" max="7701" width="17.26953125" style="119" customWidth="1"/>
    <col min="7702" max="7702" width="17.54296875" style="119" customWidth="1"/>
    <col min="7703" max="7703" width="14.81640625" style="119" customWidth="1"/>
    <col min="7704" max="7704" width="21.453125" style="119" customWidth="1"/>
    <col min="7705" max="7705" width="16" style="119" customWidth="1"/>
    <col min="7706" max="7706" width="10.26953125" style="119" customWidth="1"/>
    <col min="7707" max="7938" width="10.81640625" style="119"/>
    <col min="7939" max="7939" width="4" style="119" customWidth="1"/>
    <col min="7940" max="7940" width="17.54296875" style="119" customWidth="1"/>
    <col min="7941" max="7941" width="21.7265625" style="119" customWidth="1"/>
    <col min="7942" max="7942" width="23.81640625" style="119" customWidth="1"/>
    <col min="7943" max="7943" width="15.26953125" style="119" customWidth="1"/>
    <col min="7944" max="7955" width="5.7265625" style="119" customWidth="1"/>
    <col min="7956" max="7956" width="14.81640625" style="119" customWidth="1"/>
    <col min="7957" max="7957" width="17.26953125" style="119" customWidth="1"/>
    <col min="7958" max="7958" width="17.54296875" style="119" customWidth="1"/>
    <col min="7959" max="7959" width="14.81640625" style="119" customWidth="1"/>
    <col min="7960" max="7960" width="21.453125" style="119" customWidth="1"/>
    <col min="7961" max="7961" width="16" style="119" customWidth="1"/>
    <col min="7962" max="7962" width="10.26953125" style="119" customWidth="1"/>
    <col min="7963" max="8194" width="10.81640625" style="119"/>
    <col min="8195" max="8195" width="4" style="119" customWidth="1"/>
    <col min="8196" max="8196" width="17.54296875" style="119" customWidth="1"/>
    <col min="8197" max="8197" width="21.7265625" style="119" customWidth="1"/>
    <col min="8198" max="8198" width="23.81640625" style="119" customWidth="1"/>
    <col min="8199" max="8199" width="15.26953125" style="119" customWidth="1"/>
    <col min="8200" max="8211" width="5.7265625" style="119" customWidth="1"/>
    <col min="8212" max="8212" width="14.81640625" style="119" customWidth="1"/>
    <col min="8213" max="8213" width="17.26953125" style="119" customWidth="1"/>
    <col min="8214" max="8214" width="17.54296875" style="119" customWidth="1"/>
    <col min="8215" max="8215" width="14.81640625" style="119" customWidth="1"/>
    <col min="8216" max="8216" width="21.453125" style="119" customWidth="1"/>
    <col min="8217" max="8217" width="16" style="119" customWidth="1"/>
    <col min="8218" max="8218" width="10.26953125" style="119" customWidth="1"/>
    <col min="8219" max="8450" width="10.81640625" style="119"/>
    <col min="8451" max="8451" width="4" style="119" customWidth="1"/>
    <col min="8452" max="8452" width="17.54296875" style="119" customWidth="1"/>
    <col min="8453" max="8453" width="21.7265625" style="119" customWidth="1"/>
    <col min="8454" max="8454" width="23.81640625" style="119" customWidth="1"/>
    <col min="8455" max="8455" width="15.26953125" style="119" customWidth="1"/>
    <col min="8456" max="8467" width="5.7265625" style="119" customWidth="1"/>
    <col min="8468" max="8468" width="14.81640625" style="119" customWidth="1"/>
    <col min="8469" max="8469" width="17.26953125" style="119" customWidth="1"/>
    <col min="8470" max="8470" width="17.54296875" style="119" customWidth="1"/>
    <col min="8471" max="8471" width="14.81640625" style="119" customWidth="1"/>
    <col min="8472" max="8472" width="21.453125" style="119" customWidth="1"/>
    <col min="8473" max="8473" width="16" style="119" customWidth="1"/>
    <col min="8474" max="8474" width="10.26953125" style="119" customWidth="1"/>
    <col min="8475" max="8706" width="10.81640625" style="119"/>
    <col min="8707" max="8707" width="4" style="119" customWidth="1"/>
    <col min="8708" max="8708" width="17.54296875" style="119" customWidth="1"/>
    <col min="8709" max="8709" width="21.7265625" style="119" customWidth="1"/>
    <col min="8710" max="8710" width="23.81640625" style="119" customWidth="1"/>
    <col min="8711" max="8711" width="15.26953125" style="119" customWidth="1"/>
    <col min="8712" max="8723" width="5.7265625" style="119" customWidth="1"/>
    <col min="8724" max="8724" width="14.81640625" style="119" customWidth="1"/>
    <col min="8725" max="8725" width="17.26953125" style="119" customWidth="1"/>
    <col min="8726" max="8726" width="17.54296875" style="119" customWidth="1"/>
    <col min="8727" max="8727" width="14.81640625" style="119" customWidth="1"/>
    <col min="8728" max="8728" width="21.453125" style="119" customWidth="1"/>
    <col min="8729" max="8729" width="16" style="119" customWidth="1"/>
    <col min="8730" max="8730" width="10.26953125" style="119" customWidth="1"/>
    <col min="8731" max="8962" width="10.81640625" style="119"/>
    <col min="8963" max="8963" width="4" style="119" customWidth="1"/>
    <col min="8964" max="8964" width="17.54296875" style="119" customWidth="1"/>
    <col min="8965" max="8965" width="21.7265625" style="119" customWidth="1"/>
    <col min="8966" max="8966" width="23.81640625" style="119" customWidth="1"/>
    <col min="8967" max="8967" width="15.26953125" style="119" customWidth="1"/>
    <col min="8968" max="8979" width="5.7265625" style="119" customWidth="1"/>
    <col min="8980" max="8980" width="14.81640625" style="119" customWidth="1"/>
    <col min="8981" max="8981" width="17.26953125" style="119" customWidth="1"/>
    <col min="8982" max="8982" width="17.54296875" style="119" customWidth="1"/>
    <col min="8983" max="8983" width="14.81640625" style="119" customWidth="1"/>
    <col min="8984" max="8984" width="21.453125" style="119" customWidth="1"/>
    <col min="8985" max="8985" width="16" style="119" customWidth="1"/>
    <col min="8986" max="8986" width="10.26953125" style="119" customWidth="1"/>
    <col min="8987" max="9218" width="10.81640625" style="119"/>
    <col min="9219" max="9219" width="4" style="119" customWidth="1"/>
    <col min="9220" max="9220" width="17.54296875" style="119" customWidth="1"/>
    <col min="9221" max="9221" width="21.7265625" style="119" customWidth="1"/>
    <col min="9222" max="9222" width="23.81640625" style="119" customWidth="1"/>
    <col min="9223" max="9223" width="15.26953125" style="119" customWidth="1"/>
    <col min="9224" max="9235" width="5.7265625" style="119" customWidth="1"/>
    <col min="9236" max="9236" width="14.81640625" style="119" customWidth="1"/>
    <col min="9237" max="9237" width="17.26953125" style="119" customWidth="1"/>
    <col min="9238" max="9238" width="17.54296875" style="119" customWidth="1"/>
    <col min="9239" max="9239" width="14.81640625" style="119" customWidth="1"/>
    <col min="9240" max="9240" width="21.453125" style="119" customWidth="1"/>
    <col min="9241" max="9241" width="16" style="119" customWidth="1"/>
    <col min="9242" max="9242" width="10.26953125" style="119" customWidth="1"/>
    <col min="9243" max="9474" width="10.81640625" style="119"/>
    <col min="9475" max="9475" width="4" style="119" customWidth="1"/>
    <col min="9476" max="9476" width="17.54296875" style="119" customWidth="1"/>
    <col min="9477" max="9477" width="21.7265625" style="119" customWidth="1"/>
    <col min="9478" max="9478" width="23.81640625" style="119" customWidth="1"/>
    <col min="9479" max="9479" width="15.26953125" style="119" customWidth="1"/>
    <col min="9480" max="9491" width="5.7265625" style="119" customWidth="1"/>
    <col min="9492" max="9492" width="14.81640625" style="119" customWidth="1"/>
    <col min="9493" max="9493" width="17.26953125" style="119" customWidth="1"/>
    <col min="9494" max="9494" width="17.54296875" style="119" customWidth="1"/>
    <col min="9495" max="9495" width="14.81640625" style="119" customWidth="1"/>
    <col min="9496" max="9496" width="21.453125" style="119" customWidth="1"/>
    <col min="9497" max="9497" width="16" style="119" customWidth="1"/>
    <col min="9498" max="9498" width="10.26953125" style="119" customWidth="1"/>
    <col min="9499" max="9730" width="10.81640625" style="119"/>
    <col min="9731" max="9731" width="4" style="119" customWidth="1"/>
    <col min="9732" max="9732" width="17.54296875" style="119" customWidth="1"/>
    <col min="9733" max="9733" width="21.7265625" style="119" customWidth="1"/>
    <col min="9734" max="9734" width="23.81640625" style="119" customWidth="1"/>
    <col min="9735" max="9735" width="15.26953125" style="119" customWidth="1"/>
    <col min="9736" max="9747" width="5.7265625" style="119" customWidth="1"/>
    <col min="9748" max="9748" width="14.81640625" style="119" customWidth="1"/>
    <col min="9749" max="9749" width="17.26953125" style="119" customWidth="1"/>
    <col min="9750" max="9750" width="17.54296875" style="119" customWidth="1"/>
    <col min="9751" max="9751" width="14.81640625" style="119" customWidth="1"/>
    <col min="9752" max="9752" width="21.453125" style="119" customWidth="1"/>
    <col min="9753" max="9753" width="16" style="119" customWidth="1"/>
    <col min="9754" max="9754" width="10.26953125" style="119" customWidth="1"/>
    <col min="9755" max="9986" width="10.81640625" style="119"/>
    <col min="9987" max="9987" width="4" style="119" customWidth="1"/>
    <col min="9988" max="9988" width="17.54296875" style="119" customWidth="1"/>
    <col min="9989" max="9989" width="21.7265625" style="119" customWidth="1"/>
    <col min="9990" max="9990" width="23.81640625" style="119" customWidth="1"/>
    <col min="9991" max="9991" width="15.26953125" style="119" customWidth="1"/>
    <col min="9992" max="10003" width="5.7265625" style="119" customWidth="1"/>
    <col min="10004" max="10004" width="14.81640625" style="119" customWidth="1"/>
    <col min="10005" max="10005" width="17.26953125" style="119" customWidth="1"/>
    <col min="10006" max="10006" width="17.54296875" style="119" customWidth="1"/>
    <col min="10007" max="10007" width="14.81640625" style="119" customWidth="1"/>
    <col min="10008" max="10008" width="21.453125" style="119" customWidth="1"/>
    <col min="10009" max="10009" width="16" style="119" customWidth="1"/>
    <col min="10010" max="10010" width="10.26953125" style="119" customWidth="1"/>
    <col min="10011" max="10242" width="10.81640625" style="119"/>
    <col min="10243" max="10243" width="4" style="119" customWidth="1"/>
    <col min="10244" max="10244" width="17.54296875" style="119" customWidth="1"/>
    <col min="10245" max="10245" width="21.7265625" style="119" customWidth="1"/>
    <col min="10246" max="10246" width="23.81640625" style="119" customWidth="1"/>
    <col min="10247" max="10247" width="15.26953125" style="119" customWidth="1"/>
    <col min="10248" max="10259" width="5.7265625" style="119" customWidth="1"/>
    <col min="10260" max="10260" width="14.81640625" style="119" customWidth="1"/>
    <col min="10261" max="10261" width="17.26953125" style="119" customWidth="1"/>
    <col min="10262" max="10262" width="17.54296875" style="119" customWidth="1"/>
    <col min="10263" max="10263" width="14.81640625" style="119" customWidth="1"/>
    <col min="10264" max="10264" width="21.453125" style="119" customWidth="1"/>
    <col min="10265" max="10265" width="16" style="119" customWidth="1"/>
    <col min="10266" max="10266" width="10.26953125" style="119" customWidth="1"/>
    <col min="10267" max="10498" width="10.81640625" style="119"/>
    <col min="10499" max="10499" width="4" style="119" customWidth="1"/>
    <col min="10500" max="10500" width="17.54296875" style="119" customWidth="1"/>
    <col min="10501" max="10501" width="21.7265625" style="119" customWidth="1"/>
    <col min="10502" max="10502" width="23.81640625" style="119" customWidth="1"/>
    <col min="10503" max="10503" width="15.26953125" style="119" customWidth="1"/>
    <col min="10504" max="10515" width="5.7265625" style="119" customWidth="1"/>
    <col min="10516" max="10516" width="14.81640625" style="119" customWidth="1"/>
    <col min="10517" max="10517" width="17.26953125" style="119" customWidth="1"/>
    <col min="10518" max="10518" width="17.54296875" style="119" customWidth="1"/>
    <col min="10519" max="10519" width="14.81640625" style="119" customWidth="1"/>
    <col min="10520" max="10520" width="21.453125" style="119" customWidth="1"/>
    <col min="10521" max="10521" width="16" style="119" customWidth="1"/>
    <col min="10522" max="10522" width="10.26953125" style="119" customWidth="1"/>
    <col min="10523" max="10754" width="10.81640625" style="119"/>
    <col min="10755" max="10755" width="4" style="119" customWidth="1"/>
    <col min="10756" max="10756" width="17.54296875" style="119" customWidth="1"/>
    <col min="10757" max="10757" width="21.7265625" style="119" customWidth="1"/>
    <col min="10758" max="10758" width="23.81640625" style="119" customWidth="1"/>
    <col min="10759" max="10759" width="15.26953125" style="119" customWidth="1"/>
    <col min="10760" max="10771" width="5.7265625" style="119" customWidth="1"/>
    <col min="10772" max="10772" width="14.81640625" style="119" customWidth="1"/>
    <col min="10773" max="10773" width="17.26953125" style="119" customWidth="1"/>
    <col min="10774" max="10774" width="17.54296875" style="119" customWidth="1"/>
    <col min="10775" max="10775" width="14.81640625" style="119" customWidth="1"/>
    <col min="10776" max="10776" width="21.453125" style="119" customWidth="1"/>
    <col min="10777" max="10777" width="16" style="119" customWidth="1"/>
    <col min="10778" max="10778" width="10.26953125" style="119" customWidth="1"/>
    <col min="10779" max="11010" width="10.81640625" style="119"/>
    <col min="11011" max="11011" width="4" style="119" customWidth="1"/>
    <col min="11012" max="11012" width="17.54296875" style="119" customWidth="1"/>
    <col min="11013" max="11013" width="21.7265625" style="119" customWidth="1"/>
    <col min="11014" max="11014" width="23.81640625" style="119" customWidth="1"/>
    <col min="11015" max="11015" width="15.26953125" style="119" customWidth="1"/>
    <col min="11016" max="11027" width="5.7265625" style="119" customWidth="1"/>
    <col min="11028" max="11028" width="14.81640625" style="119" customWidth="1"/>
    <col min="11029" max="11029" width="17.26953125" style="119" customWidth="1"/>
    <col min="11030" max="11030" width="17.54296875" style="119" customWidth="1"/>
    <col min="11031" max="11031" width="14.81640625" style="119" customWidth="1"/>
    <col min="11032" max="11032" width="21.453125" style="119" customWidth="1"/>
    <col min="11033" max="11033" width="16" style="119" customWidth="1"/>
    <col min="11034" max="11034" width="10.26953125" style="119" customWidth="1"/>
    <col min="11035" max="11266" width="10.81640625" style="119"/>
    <col min="11267" max="11267" width="4" style="119" customWidth="1"/>
    <col min="11268" max="11268" width="17.54296875" style="119" customWidth="1"/>
    <col min="11269" max="11269" width="21.7265625" style="119" customWidth="1"/>
    <col min="11270" max="11270" width="23.81640625" style="119" customWidth="1"/>
    <col min="11271" max="11271" width="15.26953125" style="119" customWidth="1"/>
    <col min="11272" max="11283" width="5.7265625" style="119" customWidth="1"/>
    <col min="11284" max="11284" width="14.81640625" style="119" customWidth="1"/>
    <col min="11285" max="11285" width="17.26953125" style="119" customWidth="1"/>
    <col min="11286" max="11286" width="17.54296875" style="119" customWidth="1"/>
    <col min="11287" max="11287" width="14.81640625" style="119" customWidth="1"/>
    <col min="11288" max="11288" width="21.453125" style="119" customWidth="1"/>
    <col min="11289" max="11289" width="16" style="119" customWidth="1"/>
    <col min="11290" max="11290" width="10.26953125" style="119" customWidth="1"/>
    <col min="11291" max="11522" width="10.81640625" style="119"/>
    <col min="11523" max="11523" width="4" style="119" customWidth="1"/>
    <col min="11524" max="11524" width="17.54296875" style="119" customWidth="1"/>
    <col min="11525" max="11525" width="21.7265625" style="119" customWidth="1"/>
    <col min="11526" max="11526" width="23.81640625" style="119" customWidth="1"/>
    <col min="11527" max="11527" width="15.26953125" style="119" customWidth="1"/>
    <col min="11528" max="11539" width="5.7265625" style="119" customWidth="1"/>
    <col min="11540" max="11540" width="14.81640625" style="119" customWidth="1"/>
    <col min="11541" max="11541" width="17.26953125" style="119" customWidth="1"/>
    <col min="11542" max="11542" width="17.54296875" style="119" customWidth="1"/>
    <col min="11543" max="11543" width="14.81640625" style="119" customWidth="1"/>
    <col min="11544" max="11544" width="21.453125" style="119" customWidth="1"/>
    <col min="11545" max="11545" width="16" style="119" customWidth="1"/>
    <col min="11546" max="11546" width="10.26953125" style="119" customWidth="1"/>
    <col min="11547" max="11778" width="10.81640625" style="119"/>
    <col min="11779" max="11779" width="4" style="119" customWidth="1"/>
    <col min="11780" max="11780" width="17.54296875" style="119" customWidth="1"/>
    <col min="11781" max="11781" width="21.7265625" style="119" customWidth="1"/>
    <col min="11782" max="11782" width="23.81640625" style="119" customWidth="1"/>
    <col min="11783" max="11783" width="15.26953125" style="119" customWidth="1"/>
    <col min="11784" max="11795" width="5.7265625" style="119" customWidth="1"/>
    <col min="11796" max="11796" width="14.81640625" style="119" customWidth="1"/>
    <col min="11797" max="11797" width="17.26953125" style="119" customWidth="1"/>
    <col min="11798" max="11798" width="17.54296875" style="119" customWidth="1"/>
    <col min="11799" max="11799" width="14.81640625" style="119" customWidth="1"/>
    <col min="11800" max="11800" width="21.453125" style="119" customWidth="1"/>
    <col min="11801" max="11801" width="16" style="119" customWidth="1"/>
    <col min="11802" max="11802" width="10.26953125" style="119" customWidth="1"/>
    <col min="11803" max="12034" width="10.81640625" style="119"/>
    <col min="12035" max="12035" width="4" style="119" customWidth="1"/>
    <col min="12036" max="12036" width="17.54296875" style="119" customWidth="1"/>
    <col min="12037" max="12037" width="21.7265625" style="119" customWidth="1"/>
    <col min="12038" max="12038" width="23.81640625" style="119" customWidth="1"/>
    <col min="12039" max="12039" width="15.26953125" style="119" customWidth="1"/>
    <col min="12040" max="12051" width="5.7265625" style="119" customWidth="1"/>
    <col min="12052" max="12052" width="14.81640625" style="119" customWidth="1"/>
    <col min="12053" max="12053" width="17.26953125" style="119" customWidth="1"/>
    <col min="12054" max="12054" width="17.54296875" style="119" customWidth="1"/>
    <col min="12055" max="12055" width="14.81640625" style="119" customWidth="1"/>
    <col min="12056" max="12056" width="21.453125" style="119" customWidth="1"/>
    <col min="12057" max="12057" width="16" style="119" customWidth="1"/>
    <col min="12058" max="12058" width="10.26953125" style="119" customWidth="1"/>
    <col min="12059" max="12290" width="10.81640625" style="119"/>
    <col min="12291" max="12291" width="4" style="119" customWidth="1"/>
    <col min="12292" max="12292" width="17.54296875" style="119" customWidth="1"/>
    <col min="12293" max="12293" width="21.7265625" style="119" customWidth="1"/>
    <col min="12294" max="12294" width="23.81640625" style="119" customWidth="1"/>
    <col min="12295" max="12295" width="15.26953125" style="119" customWidth="1"/>
    <col min="12296" max="12307" width="5.7265625" style="119" customWidth="1"/>
    <col min="12308" max="12308" width="14.81640625" style="119" customWidth="1"/>
    <col min="12309" max="12309" width="17.26953125" style="119" customWidth="1"/>
    <col min="12310" max="12310" width="17.54296875" style="119" customWidth="1"/>
    <col min="12311" max="12311" width="14.81640625" style="119" customWidth="1"/>
    <col min="12312" max="12312" width="21.453125" style="119" customWidth="1"/>
    <col min="12313" max="12313" width="16" style="119" customWidth="1"/>
    <col min="12314" max="12314" width="10.26953125" style="119" customWidth="1"/>
    <col min="12315" max="12546" width="10.81640625" style="119"/>
    <col min="12547" max="12547" width="4" style="119" customWidth="1"/>
    <col min="12548" max="12548" width="17.54296875" style="119" customWidth="1"/>
    <col min="12549" max="12549" width="21.7265625" style="119" customWidth="1"/>
    <col min="12550" max="12550" width="23.81640625" style="119" customWidth="1"/>
    <col min="12551" max="12551" width="15.26953125" style="119" customWidth="1"/>
    <col min="12552" max="12563" width="5.7265625" style="119" customWidth="1"/>
    <col min="12564" max="12564" width="14.81640625" style="119" customWidth="1"/>
    <col min="12565" max="12565" width="17.26953125" style="119" customWidth="1"/>
    <col min="12566" max="12566" width="17.54296875" style="119" customWidth="1"/>
    <col min="12567" max="12567" width="14.81640625" style="119" customWidth="1"/>
    <col min="12568" max="12568" width="21.453125" style="119" customWidth="1"/>
    <col min="12569" max="12569" width="16" style="119" customWidth="1"/>
    <col min="12570" max="12570" width="10.26953125" style="119" customWidth="1"/>
    <col min="12571" max="12802" width="10.81640625" style="119"/>
    <col min="12803" max="12803" width="4" style="119" customWidth="1"/>
    <col min="12804" max="12804" width="17.54296875" style="119" customWidth="1"/>
    <col min="12805" max="12805" width="21.7265625" style="119" customWidth="1"/>
    <col min="12806" max="12806" width="23.81640625" style="119" customWidth="1"/>
    <col min="12807" max="12807" width="15.26953125" style="119" customWidth="1"/>
    <col min="12808" max="12819" width="5.7265625" style="119" customWidth="1"/>
    <col min="12820" max="12820" width="14.81640625" style="119" customWidth="1"/>
    <col min="12821" max="12821" width="17.26953125" style="119" customWidth="1"/>
    <col min="12822" max="12822" width="17.54296875" style="119" customWidth="1"/>
    <col min="12823" max="12823" width="14.81640625" style="119" customWidth="1"/>
    <col min="12824" max="12824" width="21.453125" style="119" customWidth="1"/>
    <col min="12825" max="12825" width="16" style="119" customWidth="1"/>
    <col min="12826" max="12826" width="10.26953125" style="119" customWidth="1"/>
    <col min="12827" max="13058" width="10.81640625" style="119"/>
    <col min="13059" max="13059" width="4" style="119" customWidth="1"/>
    <col min="13060" max="13060" width="17.54296875" style="119" customWidth="1"/>
    <col min="13061" max="13061" width="21.7265625" style="119" customWidth="1"/>
    <col min="13062" max="13062" width="23.81640625" style="119" customWidth="1"/>
    <col min="13063" max="13063" width="15.26953125" style="119" customWidth="1"/>
    <col min="13064" max="13075" width="5.7265625" style="119" customWidth="1"/>
    <col min="13076" max="13076" width="14.81640625" style="119" customWidth="1"/>
    <col min="13077" max="13077" width="17.26953125" style="119" customWidth="1"/>
    <col min="13078" max="13078" width="17.54296875" style="119" customWidth="1"/>
    <col min="13079" max="13079" width="14.81640625" style="119" customWidth="1"/>
    <col min="13080" max="13080" width="21.453125" style="119" customWidth="1"/>
    <col min="13081" max="13081" width="16" style="119" customWidth="1"/>
    <col min="13082" max="13082" width="10.26953125" style="119" customWidth="1"/>
    <col min="13083" max="13314" width="10.81640625" style="119"/>
    <col min="13315" max="13315" width="4" style="119" customWidth="1"/>
    <col min="13316" max="13316" width="17.54296875" style="119" customWidth="1"/>
    <col min="13317" max="13317" width="21.7265625" style="119" customWidth="1"/>
    <col min="13318" max="13318" width="23.81640625" style="119" customWidth="1"/>
    <col min="13319" max="13319" width="15.26953125" style="119" customWidth="1"/>
    <col min="13320" max="13331" width="5.7265625" style="119" customWidth="1"/>
    <col min="13332" max="13332" width="14.81640625" style="119" customWidth="1"/>
    <col min="13333" max="13333" width="17.26953125" style="119" customWidth="1"/>
    <col min="13334" max="13334" width="17.54296875" style="119" customWidth="1"/>
    <col min="13335" max="13335" width="14.81640625" style="119" customWidth="1"/>
    <col min="13336" max="13336" width="21.453125" style="119" customWidth="1"/>
    <col min="13337" max="13337" width="16" style="119" customWidth="1"/>
    <col min="13338" max="13338" width="10.26953125" style="119" customWidth="1"/>
    <col min="13339" max="13570" width="10.81640625" style="119"/>
    <col min="13571" max="13571" width="4" style="119" customWidth="1"/>
    <col min="13572" max="13572" width="17.54296875" style="119" customWidth="1"/>
    <col min="13573" max="13573" width="21.7265625" style="119" customWidth="1"/>
    <col min="13574" max="13574" width="23.81640625" style="119" customWidth="1"/>
    <col min="13575" max="13575" width="15.26953125" style="119" customWidth="1"/>
    <col min="13576" max="13587" width="5.7265625" style="119" customWidth="1"/>
    <col min="13588" max="13588" width="14.81640625" style="119" customWidth="1"/>
    <col min="13589" max="13589" width="17.26953125" style="119" customWidth="1"/>
    <col min="13590" max="13590" width="17.54296875" style="119" customWidth="1"/>
    <col min="13591" max="13591" width="14.81640625" style="119" customWidth="1"/>
    <col min="13592" max="13592" width="21.453125" style="119" customWidth="1"/>
    <col min="13593" max="13593" width="16" style="119" customWidth="1"/>
    <col min="13594" max="13594" width="10.26953125" style="119" customWidth="1"/>
    <col min="13595" max="13826" width="10.81640625" style="119"/>
    <col min="13827" max="13827" width="4" style="119" customWidth="1"/>
    <col min="13828" max="13828" width="17.54296875" style="119" customWidth="1"/>
    <col min="13829" max="13829" width="21.7265625" style="119" customWidth="1"/>
    <col min="13830" max="13830" width="23.81640625" style="119" customWidth="1"/>
    <col min="13831" max="13831" width="15.26953125" style="119" customWidth="1"/>
    <col min="13832" max="13843" width="5.7265625" style="119" customWidth="1"/>
    <col min="13844" max="13844" width="14.81640625" style="119" customWidth="1"/>
    <col min="13845" max="13845" width="17.26953125" style="119" customWidth="1"/>
    <col min="13846" max="13846" width="17.54296875" style="119" customWidth="1"/>
    <col min="13847" max="13847" width="14.81640625" style="119" customWidth="1"/>
    <col min="13848" max="13848" width="21.453125" style="119" customWidth="1"/>
    <col min="13849" max="13849" width="16" style="119" customWidth="1"/>
    <col min="13850" max="13850" width="10.26953125" style="119" customWidth="1"/>
    <col min="13851" max="14082" width="10.81640625" style="119"/>
    <col min="14083" max="14083" width="4" style="119" customWidth="1"/>
    <col min="14084" max="14084" width="17.54296875" style="119" customWidth="1"/>
    <col min="14085" max="14085" width="21.7265625" style="119" customWidth="1"/>
    <col min="14086" max="14086" width="23.81640625" style="119" customWidth="1"/>
    <col min="14087" max="14087" width="15.26953125" style="119" customWidth="1"/>
    <col min="14088" max="14099" width="5.7265625" style="119" customWidth="1"/>
    <col min="14100" max="14100" width="14.81640625" style="119" customWidth="1"/>
    <col min="14101" max="14101" width="17.26953125" style="119" customWidth="1"/>
    <col min="14102" max="14102" width="17.54296875" style="119" customWidth="1"/>
    <col min="14103" max="14103" width="14.81640625" style="119" customWidth="1"/>
    <col min="14104" max="14104" width="21.453125" style="119" customWidth="1"/>
    <col min="14105" max="14105" width="16" style="119" customWidth="1"/>
    <col min="14106" max="14106" width="10.26953125" style="119" customWidth="1"/>
    <col min="14107" max="14338" width="10.81640625" style="119"/>
    <col min="14339" max="14339" width="4" style="119" customWidth="1"/>
    <col min="14340" max="14340" width="17.54296875" style="119" customWidth="1"/>
    <col min="14341" max="14341" width="21.7265625" style="119" customWidth="1"/>
    <col min="14342" max="14342" width="23.81640625" style="119" customWidth="1"/>
    <col min="14343" max="14343" width="15.26953125" style="119" customWidth="1"/>
    <col min="14344" max="14355" width="5.7265625" style="119" customWidth="1"/>
    <col min="14356" max="14356" width="14.81640625" style="119" customWidth="1"/>
    <col min="14357" max="14357" width="17.26953125" style="119" customWidth="1"/>
    <col min="14358" max="14358" width="17.54296875" style="119" customWidth="1"/>
    <col min="14359" max="14359" width="14.81640625" style="119" customWidth="1"/>
    <col min="14360" max="14360" width="21.453125" style="119" customWidth="1"/>
    <col min="14361" max="14361" width="16" style="119" customWidth="1"/>
    <col min="14362" max="14362" width="10.26953125" style="119" customWidth="1"/>
    <col min="14363" max="14594" width="10.81640625" style="119"/>
    <col min="14595" max="14595" width="4" style="119" customWidth="1"/>
    <col min="14596" max="14596" width="17.54296875" style="119" customWidth="1"/>
    <col min="14597" max="14597" width="21.7265625" style="119" customWidth="1"/>
    <col min="14598" max="14598" width="23.81640625" style="119" customWidth="1"/>
    <col min="14599" max="14599" width="15.26953125" style="119" customWidth="1"/>
    <col min="14600" max="14611" width="5.7265625" style="119" customWidth="1"/>
    <col min="14612" max="14612" width="14.81640625" style="119" customWidth="1"/>
    <col min="14613" max="14613" width="17.26953125" style="119" customWidth="1"/>
    <col min="14614" max="14614" width="17.54296875" style="119" customWidth="1"/>
    <col min="14615" max="14615" width="14.81640625" style="119" customWidth="1"/>
    <col min="14616" max="14616" width="21.453125" style="119" customWidth="1"/>
    <col min="14617" max="14617" width="16" style="119" customWidth="1"/>
    <col min="14618" max="14618" width="10.26953125" style="119" customWidth="1"/>
    <col min="14619" max="14850" width="10.81640625" style="119"/>
    <col min="14851" max="14851" width="4" style="119" customWidth="1"/>
    <col min="14852" max="14852" width="17.54296875" style="119" customWidth="1"/>
    <col min="14853" max="14853" width="21.7265625" style="119" customWidth="1"/>
    <col min="14854" max="14854" width="23.81640625" style="119" customWidth="1"/>
    <col min="14855" max="14855" width="15.26953125" style="119" customWidth="1"/>
    <col min="14856" max="14867" width="5.7265625" style="119" customWidth="1"/>
    <col min="14868" max="14868" width="14.81640625" style="119" customWidth="1"/>
    <col min="14869" max="14869" width="17.26953125" style="119" customWidth="1"/>
    <col min="14870" max="14870" width="17.54296875" style="119" customWidth="1"/>
    <col min="14871" max="14871" width="14.81640625" style="119" customWidth="1"/>
    <col min="14872" max="14872" width="21.453125" style="119" customWidth="1"/>
    <col min="14873" max="14873" width="16" style="119" customWidth="1"/>
    <col min="14874" max="14874" width="10.26953125" style="119" customWidth="1"/>
    <col min="14875" max="15106" width="10.81640625" style="119"/>
    <col min="15107" max="15107" width="4" style="119" customWidth="1"/>
    <col min="15108" max="15108" width="17.54296875" style="119" customWidth="1"/>
    <col min="15109" max="15109" width="21.7265625" style="119" customWidth="1"/>
    <col min="15110" max="15110" width="23.81640625" style="119" customWidth="1"/>
    <col min="15111" max="15111" width="15.26953125" style="119" customWidth="1"/>
    <col min="15112" max="15123" width="5.7265625" style="119" customWidth="1"/>
    <col min="15124" max="15124" width="14.81640625" style="119" customWidth="1"/>
    <col min="15125" max="15125" width="17.26953125" style="119" customWidth="1"/>
    <col min="15126" max="15126" width="17.54296875" style="119" customWidth="1"/>
    <col min="15127" max="15127" width="14.81640625" style="119" customWidth="1"/>
    <col min="15128" max="15128" width="21.453125" style="119" customWidth="1"/>
    <col min="15129" max="15129" width="16" style="119" customWidth="1"/>
    <col min="15130" max="15130" width="10.26953125" style="119" customWidth="1"/>
    <col min="15131" max="15362" width="10.81640625" style="119"/>
    <col min="15363" max="15363" width="4" style="119" customWidth="1"/>
    <col min="15364" max="15364" width="17.54296875" style="119" customWidth="1"/>
    <col min="15365" max="15365" width="21.7265625" style="119" customWidth="1"/>
    <col min="15366" max="15366" width="23.81640625" style="119" customWidth="1"/>
    <col min="15367" max="15367" width="15.26953125" style="119" customWidth="1"/>
    <col min="15368" max="15379" width="5.7265625" style="119" customWidth="1"/>
    <col min="15380" max="15380" width="14.81640625" style="119" customWidth="1"/>
    <col min="15381" max="15381" width="17.26953125" style="119" customWidth="1"/>
    <col min="15382" max="15382" width="17.54296875" style="119" customWidth="1"/>
    <col min="15383" max="15383" width="14.81640625" style="119" customWidth="1"/>
    <col min="15384" max="15384" width="21.453125" style="119" customWidth="1"/>
    <col min="15385" max="15385" width="16" style="119" customWidth="1"/>
    <col min="15386" max="15386" width="10.26953125" style="119" customWidth="1"/>
    <col min="15387" max="15618" width="10.81640625" style="119"/>
    <col min="15619" max="15619" width="4" style="119" customWidth="1"/>
    <col min="15620" max="15620" width="17.54296875" style="119" customWidth="1"/>
    <col min="15621" max="15621" width="21.7265625" style="119" customWidth="1"/>
    <col min="15622" max="15622" width="23.81640625" style="119" customWidth="1"/>
    <col min="15623" max="15623" width="15.26953125" style="119" customWidth="1"/>
    <col min="15624" max="15635" width="5.7265625" style="119" customWidth="1"/>
    <col min="15636" max="15636" width="14.81640625" style="119" customWidth="1"/>
    <col min="15637" max="15637" width="17.26953125" style="119" customWidth="1"/>
    <col min="15638" max="15638" width="17.54296875" style="119" customWidth="1"/>
    <col min="15639" max="15639" width="14.81640625" style="119" customWidth="1"/>
    <col min="15640" max="15640" width="21.453125" style="119" customWidth="1"/>
    <col min="15641" max="15641" width="16" style="119" customWidth="1"/>
    <col min="15642" max="15642" width="10.26953125" style="119" customWidth="1"/>
    <col min="15643" max="15874" width="10.81640625" style="119"/>
    <col min="15875" max="15875" width="4" style="119" customWidth="1"/>
    <col min="15876" max="15876" width="17.54296875" style="119" customWidth="1"/>
    <col min="15877" max="15877" width="21.7265625" style="119" customWidth="1"/>
    <col min="15878" max="15878" width="23.81640625" style="119" customWidth="1"/>
    <col min="15879" max="15879" width="15.26953125" style="119" customWidth="1"/>
    <col min="15880" max="15891" width="5.7265625" style="119" customWidth="1"/>
    <col min="15892" max="15892" width="14.81640625" style="119" customWidth="1"/>
    <col min="15893" max="15893" width="17.26953125" style="119" customWidth="1"/>
    <col min="15894" max="15894" width="17.54296875" style="119" customWidth="1"/>
    <col min="15895" max="15895" width="14.81640625" style="119" customWidth="1"/>
    <col min="15896" max="15896" width="21.453125" style="119" customWidth="1"/>
    <col min="15897" max="15897" width="16" style="119" customWidth="1"/>
    <col min="15898" max="15898" width="10.26953125" style="119" customWidth="1"/>
    <col min="15899" max="16130" width="10.81640625" style="119"/>
    <col min="16131" max="16131" width="4" style="119" customWidth="1"/>
    <col min="16132" max="16132" width="17.54296875" style="119" customWidth="1"/>
    <col min="16133" max="16133" width="21.7265625" style="119" customWidth="1"/>
    <col min="16134" max="16134" width="23.81640625" style="119" customWidth="1"/>
    <col min="16135" max="16135" width="15.26953125" style="119" customWidth="1"/>
    <col min="16136" max="16147" width="5.7265625" style="119" customWidth="1"/>
    <col min="16148" max="16148" width="14.81640625" style="119" customWidth="1"/>
    <col min="16149" max="16149" width="17.26953125" style="119" customWidth="1"/>
    <col min="16150" max="16150" width="17.54296875" style="119" customWidth="1"/>
    <col min="16151" max="16151" width="14.81640625" style="119" customWidth="1"/>
    <col min="16152" max="16152" width="21.453125" style="119" customWidth="1"/>
    <col min="16153" max="16153" width="16" style="119" customWidth="1"/>
    <col min="16154" max="16154" width="10.26953125" style="119" customWidth="1"/>
    <col min="16155" max="16383" width="10.81640625" style="119"/>
    <col min="16384" max="16384" width="10.81640625" style="119" customWidth="1"/>
  </cols>
  <sheetData>
    <row r="1" spans="1:33" ht="25.5" customHeight="1">
      <c r="A1" s="340" t="s">
        <v>102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2"/>
    </row>
    <row r="2" spans="1:33" ht="15.75" customHeight="1">
      <c r="A2" s="343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5"/>
    </row>
    <row r="3" spans="1:33" ht="21" customHeight="1" thickBot="1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8"/>
      <c r="AC3" s="119" t="s">
        <v>103</v>
      </c>
    </row>
    <row r="4" spans="1:33" ht="6" customHeight="1">
      <c r="A4" s="120"/>
      <c r="B4" s="120"/>
      <c r="C4" s="1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C4" s="119" t="s">
        <v>104</v>
      </c>
    </row>
    <row r="5" spans="1:33" ht="6" customHeight="1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 t="s">
        <v>105</v>
      </c>
      <c r="R5" s="122"/>
      <c r="S5" s="122"/>
      <c r="T5" s="122"/>
      <c r="U5" s="122"/>
      <c r="V5" s="122"/>
      <c r="W5" s="122"/>
      <c r="X5" s="122"/>
      <c r="Y5" s="122"/>
      <c r="Z5" s="122"/>
      <c r="AC5" s="119" t="s">
        <v>106</v>
      </c>
    </row>
    <row r="6" spans="1:33" s="125" customFormat="1" ht="32.15" customHeight="1">
      <c r="A6" s="349" t="s">
        <v>107</v>
      </c>
      <c r="B6" s="349"/>
      <c r="C6" s="349"/>
      <c r="D6" s="350" t="s">
        <v>54</v>
      </c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123"/>
      <c r="AB6" s="123"/>
      <c r="AC6" s="124" t="s">
        <v>108</v>
      </c>
      <c r="AD6" s="123"/>
      <c r="AE6" s="123"/>
      <c r="AF6" s="123"/>
      <c r="AG6" s="123"/>
    </row>
    <row r="7" spans="1:33" ht="57" customHeight="1">
      <c r="A7" s="349" t="s">
        <v>109</v>
      </c>
      <c r="B7" s="349"/>
      <c r="C7" s="349"/>
      <c r="D7" s="351" t="s">
        <v>0</v>
      </c>
      <c r="E7" s="351"/>
      <c r="F7" s="351"/>
      <c r="G7" s="351"/>
      <c r="H7" s="351"/>
      <c r="I7" s="351"/>
      <c r="J7" s="351"/>
      <c r="K7" s="351"/>
      <c r="L7" s="351"/>
      <c r="M7" s="351"/>
      <c r="N7" s="349" t="s">
        <v>110</v>
      </c>
      <c r="O7" s="349"/>
      <c r="P7" s="349"/>
      <c r="Q7" s="349"/>
      <c r="R7" s="349"/>
      <c r="S7" s="352"/>
      <c r="T7" s="353"/>
      <c r="U7" s="353"/>
      <c r="V7" s="353"/>
      <c r="W7" s="353"/>
      <c r="X7" s="353"/>
      <c r="Y7" s="353"/>
      <c r="Z7" s="354"/>
    </row>
    <row r="8" spans="1:33" ht="32.15" customHeight="1">
      <c r="A8" s="349" t="s">
        <v>111</v>
      </c>
      <c r="B8" s="349"/>
      <c r="C8" s="349"/>
      <c r="D8" s="351" t="s">
        <v>112</v>
      </c>
      <c r="E8" s="351"/>
      <c r="F8" s="351"/>
      <c r="G8" s="351"/>
      <c r="H8" s="351"/>
      <c r="I8" s="351"/>
      <c r="J8" s="351"/>
      <c r="K8" s="351"/>
      <c r="L8" s="351"/>
      <c r="M8" s="351"/>
      <c r="N8" s="349" t="s">
        <v>113</v>
      </c>
      <c r="O8" s="349"/>
      <c r="P8" s="349"/>
      <c r="Q8" s="349"/>
      <c r="R8" s="349"/>
      <c r="S8" s="355" t="s">
        <v>47</v>
      </c>
      <c r="T8" s="356"/>
      <c r="U8" s="356"/>
      <c r="V8" s="356"/>
      <c r="W8" s="356"/>
      <c r="X8" s="356"/>
      <c r="Y8" s="356"/>
      <c r="Z8" s="357"/>
    </row>
    <row r="9" spans="1:33" ht="32.15" customHeight="1">
      <c r="A9" s="349" t="s">
        <v>114</v>
      </c>
      <c r="B9" s="349"/>
      <c r="C9" s="349"/>
      <c r="D9" s="358" t="s">
        <v>115</v>
      </c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358"/>
    </row>
    <row r="10" spans="1:33" ht="32.15" customHeight="1">
      <c r="A10" s="359" t="s">
        <v>116</v>
      </c>
      <c r="B10" s="359"/>
      <c r="C10" s="359"/>
      <c r="D10" s="360" t="s">
        <v>8</v>
      </c>
      <c r="E10" s="360"/>
      <c r="F10" s="360"/>
      <c r="G10" s="360"/>
      <c r="H10" s="360"/>
      <c r="I10" s="360"/>
      <c r="J10" s="360"/>
      <c r="K10" s="360"/>
      <c r="L10" s="360"/>
      <c r="M10" s="360"/>
      <c r="N10" s="359" t="s">
        <v>117</v>
      </c>
      <c r="O10" s="359"/>
      <c r="P10" s="359"/>
      <c r="Q10" s="359"/>
      <c r="R10" s="359"/>
      <c r="S10" s="355" t="s">
        <v>118</v>
      </c>
      <c r="T10" s="356"/>
      <c r="U10" s="356"/>
      <c r="V10" s="356"/>
      <c r="W10" s="356"/>
      <c r="X10" s="356"/>
      <c r="Y10" s="356"/>
      <c r="Z10" s="357"/>
    </row>
    <row r="11" spans="1:33" ht="22.5" customHeight="1">
      <c r="A11" s="361" t="s">
        <v>119</v>
      </c>
      <c r="B11" s="361" t="s">
        <v>120</v>
      </c>
      <c r="C11" s="361"/>
      <c r="D11" s="361" t="s">
        <v>121</v>
      </c>
      <c r="E11" s="361" t="s">
        <v>116</v>
      </c>
      <c r="F11" s="349" t="s">
        <v>122</v>
      </c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61" t="s">
        <v>123</v>
      </c>
      <c r="S11" s="362" t="s">
        <v>124</v>
      </c>
      <c r="T11" s="363"/>
      <c r="U11" s="363"/>
      <c r="V11" s="364"/>
      <c r="W11" s="361" t="s">
        <v>125</v>
      </c>
      <c r="X11" s="361" t="s">
        <v>126</v>
      </c>
      <c r="Y11" s="361" t="s">
        <v>127</v>
      </c>
      <c r="Z11" s="361"/>
    </row>
    <row r="12" spans="1:33" ht="34.5" customHeight="1">
      <c r="A12" s="361"/>
      <c r="B12" s="361"/>
      <c r="C12" s="361"/>
      <c r="D12" s="361"/>
      <c r="E12" s="361"/>
      <c r="F12" s="126" t="s">
        <v>104</v>
      </c>
      <c r="G12" s="126" t="s">
        <v>128</v>
      </c>
      <c r="H12" s="126" t="s">
        <v>129</v>
      </c>
      <c r="I12" s="126" t="s">
        <v>130</v>
      </c>
      <c r="J12" s="126" t="s">
        <v>129</v>
      </c>
      <c r="K12" s="126" t="s">
        <v>131</v>
      </c>
      <c r="L12" s="126" t="s">
        <v>131</v>
      </c>
      <c r="M12" s="126" t="s">
        <v>130</v>
      </c>
      <c r="N12" s="126" t="s">
        <v>132</v>
      </c>
      <c r="O12" s="126" t="s">
        <v>133</v>
      </c>
      <c r="P12" s="126" t="s">
        <v>108</v>
      </c>
      <c r="Q12" s="126" t="s">
        <v>134</v>
      </c>
      <c r="R12" s="361"/>
      <c r="S12" s="126" t="s">
        <v>135</v>
      </c>
      <c r="T12" s="126" t="s">
        <v>136</v>
      </c>
      <c r="U12" s="126" t="s">
        <v>137</v>
      </c>
      <c r="V12" s="126" t="s">
        <v>138</v>
      </c>
      <c r="W12" s="361"/>
      <c r="X12" s="361"/>
      <c r="Y12" s="361"/>
      <c r="Z12" s="361"/>
    </row>
    <row r="13" spans="1:33" ht="35.15" customHeight="1">
      <c r="A13" s="332">
        <v>1</v>
      </c>
      <c r="B13" s="328" t="s">
        <v>139</v>
      </c>
      <c r="C13" s="329"/>
      <c r="D13" s="334" t="s">
        <v>140</v>
      </c>
      <c r="E13" s="334" t="s">
        <v>8</v>
      </c>
      <c r="F13" s="128" t="s">
        <v>103</v>
      </c>
      <c r="G13" s="128" t="s">
        <v>103</v>
      </c>
      <c r="H13" s="128" t="s">
        <v>103</v>
      </c>
      <c r="I13" s="128" t="s">
        <v>103</v>
      </c>
      <c r="J13" s="128" t="s">
        <v>103</v>
      </c>
      <c r="K13" s="128" t="s">
        <v>103</v>
      </c>
      <c r="L13" s="128" t="s">
        <v>103</v>
      </c>
      <c r="M13" s="128" t="s">
        <v>103</v>
      </c>
      <c r="N13" s="128" t="s">
        <v>103</v>
      </c>
      <c r="O13" s="128" t="s">
        <v>103</v>
      </c>
      <c r="P13" s="128" t="s">
        <v>103</v>
      </c>
      <c r="Q13" s="128" t="s">
        <v>103</v>
      </c>
      <c r="R13" s="336" t="s">
        <v>47</v>
      </c>
      <c r="S13" s="334">
        <f>COUNTIF(F13:Q13,"P")</f>
        <v>12</v>
      </c>
      <c r="T13" s="334">
        <f>COUNTIF(F13:Q13,"R")</f>
        <v>0</v>
      </c>
      <c r="U13" s="334">
        <f>COUNTIF(F14:Q14,"E")</f>
        <v>12</v>
      </c>
      <c r="V13" s="334">
        <f>COUNTIF(F14:Q14,"N")</f>
        <v>0</v>
      </c>
      <c r="W13" s="338">
        <f>U13/S13</f>
        <v>1</v>
      </c>
      <c r="X13" s="334"/>
      <c r="Y13" s="328"/>
      <c r="Z13" s="329"/>
    </row>
    <row r="14" spans="1:33" ht="35.15" customHeight="1">
      <c r="A14" s="333"/>
      <c r="B14" s="330"/>
      <c r="C14" s="331"/>
      <c r="D14" s="335"/>
      <c r="E14" s="335"/>
      <c r="F14" s="128" t="s">
        <v>104</v>
      </c>
      <c r="G14" s="128" t="s">
        <v>104</v>
      </c>
      <c r="H14" s="128" t="s">
        <v>104</v>
      </c>
      <c r="I14" s="128" t="s">
        <v>104</v>
      </c>
      <c r="J14" s="128" t="s">
        <v>104</v>
      </c>
      <c r="K14" s="128" t="s">
        <v>104</v>
      </c>
      <c r="L14" s="128" t="s">
        <v>104</v>
      </c>
      <c r="M14" s="128" t="s">
        <v>104</v>
      </c>
      <c r="N14" s="128" t="s">
        <v>104</v>
      </c>
      <c r="O14" s="128" t="s">
        <v>104</v>
      </c>
      <c r="P14" s="128" t="s">
        <v>104</v>
      </c>
      <c r="Q14" s="128" t="s">
        <v>104</v>
      </c>
      <c r="R14" s="337"/>
      <c r="S14" s="335"/>
      <c r="T14" s="335"/>
      <c r="U14" s="335"/>
      <c r="V14" s="335"/>
      <c r="W14" s="339"/>
      <c r="X14" s="335"/>
      <c r="Y14" s="330"/>
      <c r="Z14" s="331"/>
    </row>
    <row r="15" spans="1:33" ht="35.15" customHeight="1">
      <c r="A15" s="332">
        <v>2</v>
      </c>
      <c r="B15" s="328" t="s">
        <v>141</v>
      </c>
      <c r="C15" s="329"/>
      <c r="D15" s="334" t="s">
        <v>140</v>
      </c>
      <c r="E15" s="334" t="s">
        <v>8</v>
      </c>
      <c r="F15" s="128" t="s">
        <v>103</v>
      </c>
      <c r="G15" s="128" t="s">
        <v>103</v>
      </c>
      <c r="H15" s="128" t="s">
        <v>103</v>
      </c>
      <c r="I15" s="128" t="s">
        <v>103</v>
      </c>
      <c r="J15" s="128" t="s">
        <v>103</v>
      </c>
      <c r="K15" s="128" t="s">
        <v>103</v>
      </c>
      <c r="L15" s="128" t="s">
        <v>103</v>
      </c>
      <c r="M15" s="128" t="s">
        <v>103</v>
      </c>
      <c r="N15" s="128" t="s">
        <v>103</v>
      </c>
      <c r="O15" s="128" t="s">
        <v>103</v>
      </c>
      <c r="P15" s="128" t="s">
        <v>103</v>
      </c>
      <c r="Q15" s="128" t="s">
        <v>103</v>
      </c>
      <c r="R15" s="336" t="s">
        <v>47</v>
      </c>
      <c r="S15" s="334">
        <f>COUNTIF(F15:Q15,"P")</f>
        <v>12</v>
      </c>
      <c r="T15" s="334">
        <f>COUNTIF(F15:Q15,"R")</f>
        <v>0</v>
      </c>
      <c r="U15" s="334">
        <f>COUNTIF(F16:Q16,"E")</f>
        <v>12</v>
      </c>
      <c r="V15" s="334">
        <f>COUNTIF(F16:Q16,"N")</f>
        <v>0</v>
      </c>
      <c r="W15" s="338">
        <f>U15/S15</f>
        <v>1</v>
      </c>
      <c r="X15" s="334"/>
      <c r="Y15" s="328"/>
      <c r="Z15" s="329"/>
    </row>
    <row r="16" spans="1:33" ht="35.15" customHeight="1">
      <c r="A16" s="333"/>
      <c r="B16" s="330"/>
      <c r="C16" s="331"/>
      <c r="D16" s="335"/>
      <c r="E16" s="335"/>
      <c r="F16" s="128" t="s">
        <v>104</v>
      </c>
      <c r="G16" s="128" t="s">
        <v>104</v>
      </c>
      <c r="H16" s="128" t="s">
        <v>104</v>
      </c>
      <c r="I16" s="128" t="s">
        <v>104</v>
      </c>
      <c r="J16" s="128" t="s">
        <v>104</v>
      </c>
      <c r="K16" s="128" t="s">
        <v>104</v>
      </c>
      <c r="L16" s="128" t="s">
        <v>104</v>
      </c>
      <c r="M16" s="128" t="s">
        <v>104</v>
      </c>
      <c r="N16" s="128" t="s">
        <v>104</v>
      </c>
      <c r="O16" s="128" t="s">
        <v>104</v>
      </c>
      <c r="P16" s="128" t="s">
        <v>104</v>
      </c>
      <c r="Q16" s="128" t="s">
        <v>104</v>
      </c>
      <c r="R16" s="337"/>
      <c r="S16" s="335"/>
      <c r="T16" s="335"/>
      <c r="U16" s="335"/>
      <c r="V16" s="335"/>
      <c r="W16" s="339"/>
      <c r="X16" s="335"/>
      <c r="Y16" s="330"/>
      <c r="Z16" s="331"/>
    </row>
    <row r="17" spans="1:26" ht="35.15" customHeight="1">
      <c r="A17" s="332">
        <v>3</v>
      </c>
      <c r="B17" s="328" t="s">
        <v>142</v>
      </c>
      <c r="C17" s="329"/>
      <c r="D17" s="334" t="s">
        <v>140</v>
      </c>
      <c r="E17" s="334" t="s">
        <v>8</v>
      </c>
      <c r="F17" s="128" t="s">
        <v>103</v>
      </c>
      <c r="G17" s="128" t="s">
        <v>103</v>
      </c>
      <c r="H17" s="128" t="s">
        <v>103</v>
      </c>
      <c r="I17" s="128" t="s">
        <v>103</v>
      </c>
      <c r="J17" s="128" t="s">
        <v>103</v>
      </c>
      <c r="K17" s="128" t="s">
        <v>103</v>
      </c>
      <c r="L17" s="128" t="s">
        <v>103</v>
      </c>
      <c r="M17" s="128" t="s">
        <v>103</v>
      </c>
      <c r="N17" s="128" t="s">
        <v>103</v>
      </c>
      <c r="O17" s="128" t="s">
        <v>103</v>
      </c>
      <c r="P17" s="128" t="s">
        <v>103</v>
      </c>
      <c r="Q17" s="128" t="s">
        <v>103</v>
      </c>
      <c r="R17" s="336" t="s">
        <v>47</v>
      </c>
      <c r="S17" s="334">
        <f>COUNTIF(F17:Q17,"P")</f>
        <v>12</v>
      </c>
      <c r="T17" s="334">
        <f>COUNTIF(F17:Q17,"R")</f>
        <v>0</v>
      </c>
      <c r="U17" s="334">
        <f>COUNTIF(F18:Q18,"E")</f>
        <v>12</v>
      </c>
      <c r="V17" s="334">
        <f>COUNTIF(F18:Q18,"N")</f>
        <v>0</v>
      </c>
      <c r="W17" s="338">
        <f>U17/S17</f>
        <v>1</v>
      </c>
      <c r="X17" s="334"/>
      <c r="Y17" s="136"/>
      <c r="Z17" s="137"/>
    </row>
    <row r="18" spans="1:26" ht="35.15" customHeight="1">
      <c r="A18" s="333"/>
      <c r="B18" s="330"/>
      <c r="C18" s="331"/>
      <c r="D18" s="335"/>
      <c r="E18" s="335"/>
      <c r="F18" s="128" t="s">
        <v>104</v>
      </c>
      <c r="G18" s="128" t="s">
        <v>104</v>
      </c>
      <c r="H18" s="128" t="s">
        <v>104</v>
      </c>
      <c r="I18" s="128" t="s">
        <v>104</v>
      </c>
      <c r="J18" s="128" t="s">
        <v>104</v>
      </c>
      <c r="K18" s="128" t="s">
        <v>104</v>
      </c>
      <c r="L18" s="128" t="s">
        <v>104</v>
      </c>
      <c r="M18" s="128" t="s">
        <v>104</v>
      </c>
      <c r="N18" s="128" t="s">
        <v>104</v>
      </c>
      <c r="O18" s="128" t="s">
        <v>104</v>
      </c>
      <c r="P18" s="128" t="s">
        <v>104</v>
      </c>
      <c r="Q18" s="128" t="s">
        <v>104</v>
      </c>
      <c r="R18" s="337"/>
      <c r="S18" s="335"/>
      <c r="T18" s="335"/>
      <c r="U18" s="335"/>
      <c r="V18" s="335"/>
      <c r="W18" s="339"/>
      <c r="X18" s="335"/>
      <c r="Y18" s="136"/>
      <c r="Z18" s="137"/>
    </row>
    <row r="19" spans="1:26" ht="47.25" customHeight="1">
      <c r="A19" s="332">
        <v>4</v>
      </c>
      <c r="B19" s="328" t="s">
        <v>143</v>
      </c>
      <c r="C19" s="329"/>
      <c r="D19" s="334" t="s">
        <v>140</v>
      </c>
      <c r="E19" s="334" t="s">
        <v>8</v>
      </c>
      <c r="F19" s="128" t="s">
        <v>103</v>
      </c>
      <c r="G19" s="128" t="s">
        <v>103</v>
      </c>
      <c r="H19" s="128" t="s">
        <v>103</v>
      </c>
      <c r="I19" s="128" t="s">
        <v>103</v>
      </c>
      <c r="J19" s="128" t="s">
        <v>103</v>
      </c>
      <c r="K19" s="128" t="s">
        <v>103</v>
      </c>
      <c r="L19" s="128" t="s">
        <v>103</v>
      </c>
      <c r="M19" s="128" t="s">
        <v>103</v>
      </c>
      <c r="N19" s="128" t="s">
        <v>103</v>
      </c>
      <c r="O19" s="128" t="s">
        <v>103</v>
      </c>
      <c r="P19" s="128" t="s">
        <v>103</v>
      </c>
      <c r="Q19" s="128" t="s">
        <v>103</v>
      </c>
      <c r="R19" s="336" t="s">
        <v>47</v>
      </c>
      <c r="S19" s="334">
        <f>COUNTIF(F19:Q19,"P")</f>
        <v>12</v>
      </c>
      <c r="T19" s="334">
        <f>COUNTIF(F19:Q19,"R")</f>
        <v>0</v>
      </c>
      <c r="U19" s="334">
        <f>COUNTIF(F20:Q20,"E")</f>
        <v>12</v>
      </c>
      <c r="V19" s="334">
        <f>COUNTIF(F20:Q20,"N")</f>
        <v>0</v>
      </c>
      <c r="W19" s="338">
        <f>U19/S19</f>
        <v>1</v>
      </c>
      <c r="X19" s="334"/>
      <c r="Y19" s="328"/>
      <c r="Z19" s="329"/>
    </row>
    <row r="20" spans="1:26" ht="40.5" customHeight="1">
      <c r="A20" s="333"/>
      <c r="B20" s="330"/>
      <c r="C20" s="331"/>
      <c r="D20" s="335"/>
      <c r="E20" s="335"/>
      <c r="F20" s="128" t="s">
        <v>104</v>
      </c>
      <c r="G20" s="128" t="s">
        <v>104</v>
      </c>
      <c r="H20" s="128" t="s">
        <v>104</v>
      </c>
      <c r="I20" s="128" t="s">
        <v>104</v>
      </c>
      <c r="J20" s="128" t="s">
        <v>104</v>
      </c>
      <c r="K20" s="128" t="s">
        <v>104</v>
      </c>
      <c r="L20" s="128" t="s">
        <v>104</v>
      </c>
      <c r="M20" s="128" t="s">
        <v>104</v>
      </c>
      <c r="N20" s="128" t="s">
        <v>104</v>
      </c>
      <c r="O20" s="128" t="s">
        <v>104</v>
      </c>
      <c r="P20" s="128" t="s">
        <v>104</v>
      </c>
      <c r="Q20" s="128" t="s">
        <v>104</v>
      </c>
      <c r="R20" s="337"/>
      <c r="S20" s="335"/>
      <c r="T20" s="335"/>
      <c r="U20" s="335"/>
      <c r="V20" s="335"/>
      <c r="W20" s="339"/>
      <c r="X20" s="335"/>
      <c r="Y20" s="330"/>
      <c r="Z20" s="331"/>
    </row>
    <row r="21" spans="1:26" ht="35.15" customHeight="1">
      <c r="A21" s="332">
        <v>5</v>
      </c>
      <c r="B21" s="328" t="s">
        <v>144</v>
      </c>
      <c r="C21" s="329"/>
      <c r="D21" s="334" t="s">
        <v>140</v>
      </c>
      <c r="E21" s="334" t="s">
        <v>8</v>
      </c>
      <c r="F21" s="128" t="s">
        <v>103</v>
      </c>
      <c r="G21" s="128" t="s">
        <v>103</v>
      </c>
      <c r="H21" s="128" t="s">
        <v>103</v>
      </c>
      <c r="I21" s="128" t="s">
        <v>103</v>
      </c>
      <c r="J21" s="128" t="s">
        <v>103</v>
      </c>
      <c r="K21" s="128" t="s">
        <v>103</v>
      </c>
      <c r="L21" s="128" t="s">
        <v>103</v>
      </c>
      <c r="M21" s="128" t="s">
        <v>103</v>
      </c>
      <c r="N21" s="128" t="s">
        <v>103</v>
      </c>
      <c r="O21" s="128" t="s">
        <v>103</v>
      </c>
      <c r="P21" s="128" t="s">
        <v>103</v>
      </c>
      <c r="Q21" s="128" t="s">
        <v>103</v>
      </c>
      <c r="R21" s="336" t="s">
        <v>47</v>
      </c>
      <c r="S21" s="334">
        <f>COUNTIF(F21:Q21,"P")</f>
        <v>12</v>
      </c>
      <c r="T21" s="334">
        <f>COUNTIF(F21:Q21,"R")</f>
        <v>0</v>
      </c>
      <c r="U21" s="334">
        <f>COUNTIF(F22:Q22,"E")</f>
        <v>12</v>
      </c>
      <c r="V21" s="334">
        <f>COUNTIF(F22:Q22,"N")</f>
        <v>0</v>
      </c>
      <c r="W21" s="338">
        <f t="shared" ref="W21" si="0">U21/S21</f>
        <v>1</v>
      </c>
      <c r="X21" s="334"/>
      <c r="Y21" s="328"/>
      <c r="Z21" s="329"/>
    </row>
    <row r="22" spans="1:26" ht="35.15" customHeight="1">
      <c r="A22" s="333"/>
      <c r="B22" s="330"/>
      <c r="C22" s="331"/>
      <c r="D22" s="335"/>
      <c r="E22" s="335"/>
      <c r="F22" s="128" t="s">
        <v>104</v>
      </c>
      <c r="G22" s="128" t="s">
        <v>104</v>
      </c>
      <c r="H22" s="128" t="s">
        <v>104</v>
      </c>
      <c r="I22" s="128" t="s">
        <v>104</v>
      </c>
      <c r="J22" s="128" t="s">
        <v>104</v>
      </c>
      <c r="K22" s="128" t="s">
        <v>104</v>
      </c>
      <c r="L22" s="128" t="s">
        <v>104</v>
      </c>
      <c r="M22" s="128" t="s">
        <v>104</v>
      </c>
      <c r="N22" s="128" t="s">
        <v>104</v>
      </c>
      <c r="O22" s="128" t="s">
        <v>104</v>
      </c>
      <c r="P22" s="128" t="s">
        <v>104</v>
      </c>
      <c r="Q22" s="128" t="s">
        <v>104</v>
      </c>
      <c r="R22" s="337"/>
      <c r="S22" s="335"/>
      <c r="T22" s="335"/>
      <c r="U22" s="335"/>
      <c r="V22" s="335"/>
      <c r="W22" s="339"/>
      <c r="X22" s="335"/>
      <c r="Y22" s="330"/>
      <c r="Z22" s="331"/>
    </row>
    <row r="23" spans="1:26" ht="35.15" hidden="1" customHeight="1">
      <c r="A23" s="332">
        <v>3</v>
      </c>
      <c r="B23" s="328"/>
      <c r="C23" s="329"/>
      <c r="D23" s="334"/>
      <c r="E23" s="334"/>
      <c r="F23" s="127"/>
      <c r="G23" s="128"/>
      <c r="H23" s="128"/>
      <c r="I23" s="128"/>
      <c r="J23" s="128"/>
      <c r="K23" s="128"/>
      <c r="L23" s="128"/>
      <c r="M23" s="128"/>
      <c r="N23" s="128" t="s">
        <v>103</v>
      </c>
      <c r="O23" s="128"/>
      <c r="P23" s="128"/>
      <c r="Q23" s="128"/>
      <c r="R23" s="336" t="s">
        <v>47</v>
      </c>
      <c r="S23" s="334">
        <f t="shared" ref="S23" si="1">COUNTIF(F23:Q23,"P")</f>
        <v>1</v>
      </c>
      <c r="T23" s="334">
        <f t="shared" ref="T23" si="2">COUNTIF(F23:Q23,"R")</f>
        <v>0</v>
      </c>
      <c r="U23" s="334">
        <f t="shared" ref="U23" si="3">COUNTIF(F24:Q24,"E")</f>
        <v>1</v>
      </c>
      <c r="V23" s="334">
        <f t="shared" ref="V23" si="4">COUNTIF(F24:Q24,"N")</f>
        <v>0</v>
      </c>
      <c r="W23" s="338">
        <f t="shared" ref="W23" si="5">U23/S23</f>
        <v>1</v>
      </c>
      <c r="X23" s="334"/>
      <c r="Y23" s="328"/>
      <c r="Z23" s="329"/>
    </row>
    <row r="24" spans="1:26" ht="35.15" hidden="1" customHeight="1">
      <c r="A24" s="333"/>
      <c r="B24" s="330"/>
      <c r="C24" s="331"/>
      <c r="D24" s="335"/>
      <c r="E24" s="335"/>
      <c r="F24" s="127"/>
      <c r="G24" s="128"/>
      <c r="H24" s="128"/>
      <c r="I24" s="128"/>
      <c r="J24" s="128"/>
      <c r="K24" s="128"/>
      <c r="L24" s="128"/>
      <c r="M24" s="128"/>
      <c r="N24" s="128" t="s">
        <v>104</v>
      </c>
      <c r="O24" s="128"/>
      <c r="P24" s="128"/>
      <c r="Q24" s="128"/>
      <c r="R24" s="337"/>
      <c r="S24" s="335"/>
      <c r="T24" s="335"/>
      <c r="U24" s="335"/>
      <c r="V24" s="335"/>
      <c r="W24" s="339"/>
      <c r="X24" s="335"/>
      <c r="Y24" s="330"/>
      <c r="Z24" s="331"/>
    </row>
    <row r="25" spans="1:26" ht="35.15" hidden="1" customHeight="1">
      <c r="A25" s="332">
        <v>4</v>
      </c>
      <c r="B25" s="328"/>
      <c r="C25" s="329"/>
      <c r="D25" s="334"/>
      <c r="E25" s="334"/>
      <c r="F25" s="127"/>
      <c r="G25" s="128"/>
      <c r="H25" s="128"/>
      <c r="I25" s="128"/>
      <c r="J25" s="128"/>
      <c r="K25" s="128"/>
      <c r="L25" s="128"/>
      <c r="M25" s="128"/>
      <c r="N25" s="128" t="s">
        <v>103</v>
      </c>
      <c r="O25" s="128"/>
      <c r="P25" s="128"/>
      <c r="Q25" s="128"/>
      <c r="R25" s="336" t="s">
        <v>47</v>
      </c>
      <c r="S25" s="334">
        <f t="shared" ref="S25" si="6">COUNTIF(F25:Q25,"P")</f>
        <v>1</v>
      </c>
      <c r="T25" s="334">
        <f t="shared" ref="T25" si="7">COUNTIF(F25:Q25,"R")</f>
        <v>0</v>
      </c>
      <c r="U25" s="334">
        <f t="shared" ref="U25" si="8">COUNTIF(F26:Q26,"E")</f>
        <v>1</v>
      </c>
      <c r="V25" s="334">
        <f t="shared" ref="V25" si="9">COUNTIF(F26:Q26,"N")</f>
        <v>0</v>
      </c>
      <c r="W25" s="338">
        <f t="shared" ref="W25" si="10">U25/S25</f>
        <v>1</v>
      </c>
      <c r="X25" s="334"/>
      <c r="Y25" s="328"/>
      <c r="Z25" s="329"/>
    </row>
    <row r="26" spans="1:26" ht="35.15" hidden="1" customHeight="1">
      <c r="A26" s="333"/>
      <c r="B26" s="330"/>
      <c r="C26" s="331"/>
      <c r="D26" s="335"/>
      <c r="E26" s="335"/>
      <c r="F26" s="127"/>
      <c r="G26" s="128"/>
      <c r="H26" s="128"/>
      <c r="I26" s="128"/>
      <c r="J26" s="128"/>
      <c r="K26" s="128"/>
      <c r="L26" s="128"/>
      <c r="M26" s="128"/>
      <c r="N26" s="128" t="s">
        <v>104</v>
      </c>
      <c r="O26" s="128"/>
      <c r="P26" s="128"/>
      <c r="Q26" s="128"/>
      <c r="R26" s="337"/>
      <c r="S26" s="335"/>
      <c r="T26" s="335"/>
      <c r="U26" s="335"/>
      <c r="V26" s="335"/>
      <c r="W26" s="339"/>
      <c r="X26" s="335"/>
      <c r="Y26" s="330"/>
      <c r="Z26" s="331"/>
    </row>
    <row r="27" spans="1:26" ht="35.15" hidden="1" customHeight="1">
      <c r="A27" s="332">
        <v>5</v>
      </c>
      <c r="B27" s="328"/>
      <c r="C27" s="329"/>
      <c r="D27" s="334"/>
      <c r="E27" s="334"/>
      <c r="F27" s="127"/>
      <c r="G27" s="128"/>
      <c r="H27" s="128"/>
      <c r="I27" s="128"/>
      <c r="J27" s="128"/>
      <c r="K27" s="128"/>
      <c r="L27" s="128"/>
      <c r="M27" s="128"/>
      <c r="N27" s="128" t="s">
        <v>103</v>
      </c>
      <c r="O27" s="128"/>
      <c r="P27" s="128"/>
      <c r="Q27" s="128"/>
      <c r="R27" s="370" t="s">
        <v>47</v>
      </c>
      <c r="S27" s="369">
        <f t="shared" ref="S27" si="11">COUNTIF(F27:Q27,"P")</f>
        <v>1</v>
      </c>
      <c r="T27" s="369">
        <f t="shared" ref="T27" si="12">COUNTIF(F27:Q27,"R")</f>
        <v>0</v>
      </c>
      <c r="U27" s="369">
        <f t="shared" ref="U27" si="13">COUNTIF(F28:Q28,"E")</f>
        <v>1</v>
      </c>
      <c r="V27" s="369">
        <f t="shared" ref="V27" si="14">COUNTIF(F28:Q28,"N")</f>
        <v>0</v>
      </c>
      <c r="W27" s="338">
        <f t="shared" ref="W27" si="15">U27/S27</f>
        <v>1</v>
      </c>
      <c r="X27" s="334"/>
      <c r="Y27" s="328"/>
      <c r="Z27" s="329"/>
    </row>
    <row r="28" spans="1:26" ht="35.15" hidden="1" customHeight="1">
      <c r="A28" s="333"/>
      <c r="B28" s="330"/>
      <c r="C28" s="331"/>
      <c r="D28" s="335"/>
      <c r="E28" s="335"/>
      <c r="F28" s="127"/>
      <c r="G28" s="128"/>
      <c r="H28" s="128"/>
      <c r="I28" s="128"/>
      <c r="J28" s="128"/>
      <c r="K28" s="128"/>
      <c r="L28" s="128"/>
      <c r="M28" s="128"/>
      <c r="N28" s="128" t="s">
        <v>104</v>
      </c>
      <c r="O28" s="128"/>
      <c r="P28" s="128"/>
      <c r="Q28" s="128"/>
      <c r="R28" s="370"/>
      <c r="S28" s="369"/>
      <c r="T28" s="369"/>
      <c r="U28" s="369"/>
      <c r="V28" s="369"/>
      <c r="W28" s="339"/>
      <c r="X28" s="335"/>
      <c r="Y28" s="330"/>
      <c r="Z28" s="331"/>
    </row>
    <row r="29" spans="1:26" ht="23.25" customHeight="1">
      <c r="A29" s="129"/>
      <c r="B29" s="130"/>
      <c r="C29" s="130"/>
      <c r="D29" s="130"/>
      <c r="E29" s="130"/>
      <c r="F29" s="131"/>
      <c r="G29" s="131"/>
      <c r="H29" s="131"/>
      <c r="I29" s="131"/>
      <c r="J29" s="131"/>
      <c r="K29" s="131"/>
      <c r="L29" s="131"/>
      <c r="M29" s="131"/>
      <c r="N29" s="131"/>
      <c r="O29" s="130"/>
      <c r="P29" s="130"/>
      <c r="Q29" s="130"/>
      <c r="R29" s="132"/>
      <c r="S29" s="132"/>
      <c r="T29" s="132"/>
      <c r="U29" s="365" t="s">
        <v>145</v>
      </c>
      <c r="V29" s="365"/>
      <c r="W29" s="133">
        <f>AVERAGE(W13:W21)</f>
        <v>1</v>
      </c>
      <c r="X29" s="130"/>
      <c r="Y29" s="130"/>
      <c r="Z29" s="130"/>
    </row>
    <row r="30" spans="1:26" ht="37.5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6" ht="33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8.75" customHeight="1">
      <c r="A32" s="366"/>
      <c r="B32" s="367"/>
      <c r="C32" s="367"/>
      <c r="D32" s="367"/>
      <c r="E32" s="367"/>
      <c r="F32" s="367"/>
      <c r="G32" s="367"/>
      <c r="H32" s="367"/>
      <c r="I32" s="367"/>
      <c r="J32" s="367"/>
      <c r="K32" s="367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367"/>
      <c r="Z32" s="368"/>
    </row>
  </sheetData>
  <mergeCells count="124">
    <mergeCell ref="U29:V29"/>
    <mergeCell ref="A32:Z32"/>
    <mergeCell ref="T27:T28"/>
    <mergeCell ref="U27:U28"/>
    <mergeCell ref="V27:V28"/>
    <mergeCell ref="W27:W28"/>
    <mergeCell ref="X27:X28"/>
    <mergeCell ref="Y27:Z28"/>
    <mergeCell ref="A27:A28"/>
    <mergeCell ref="B27:C28"/>
    <mergeCell ref="D27:D28"/>
    <mergeCell ref="E27:E28"/>
    <mergeCell ref="R27:R28"/>
    <mergeCell ref="S27:S28"/>
    <mergeCell ref="Y25:Z26"/>
    <mergeCell ref="A25:A26"/>
    <mergeCell ref="B25:C26"/>
    <mergeCell ref="D25:D26"/>
    <mergeCell ref="E25:E26"/>
    <mergeCell ref="R25:R26"/>
    <mergeCell ref="S25:S26"/>
    <mergeCell ref="T25:T26"/>
    <mergeCell ref="U25:U26"/>
    <mergeCell ref="V25:V26"/>
    <mergeCell ref="W25:W26"/>
    <mergeCell ref="X25:X26"/>
    <mergeCell ref="Y23:Z24"/>
    <mergeCell ref="A23:A24"/>
    <mergeCell ref="B23:C24"/>
    <mergeCell ref="D23:D24"/>
    <mergeCell ref="E23:E24"/>
    <mergeCell ref="R23:R24"/>
    <mergeCell ref="S23:S24"/>
    <mergeCell ref="T23:T24"/>
    <mergeCell ref="U23:U24"/>
    <mergeCell ref="V23:V24"/>
    <mergeCell ref="W23:W24"/>
    <mergeCell ref="X23:X24"/>
    <mergeCell ref="Y21:Z22"/>
    <mergeCell ref="A21:A22"/>
    <mergeCell ref="B21:C22"/>
    <mergeCell ref="D21:D22"/>
    <mergeCell ref="E21:E22"/>
    <mergeCell ref="R21:R22"/>
    <mergeCell ref="S21:S22"/>
    <mergeCell ref="T21:T22"/>
    <mergeCell ref="U21:U22"/>
    <mergeCell ref="V21:V22"/>
    <mergeCell ref="W21:W22"/>
    <mergeCell ref="X21:X22"/>
    <mergeCell ref="A13:A14"/>
    <mergeCell ref="B13:C14"/>
    <mergeCell ref="D13:D14"/>
    <mergeCell ref="E13:E14"/>
    <mergeCell ref="R13:R14"/>
    <mergeCell ref="Y13:Z14"/>
    <mergeCell ref="S11:V11"/>
    <mergeCell ref="W11:W12"/>
    <mergeCell ref="X11:X12"/>
    <mergeCell ref="Y11:Z12"/>
    <mergeCell ref="S13:S14"/>
    <mergeCell ref="T13:T14"/>
    <mergeCell ref="U13:U14"/>
    <mergeCell ref="V13:V14"/>
    <mergeCell ref="W13:W14"/>
    <mergeCell ref="X13:X14"/>
    <mergeCell ref="A9:C9"/>
    <mergeCell ref="D9:Z9"/>
    <mergeCell ref="A10:C10"/>
    <mergeCell ref="D10:M10"/>
    <mergeCell ref="N10:R10"/>
    <mergeCell ref="S10:Z10"/>
    <mergeCell ref="A11:A12"/>
    <mergeCell ref="B11:C12"/>
    <mergeCell ref="D11:D12"/>
    <mergeCell ref="E11:E12"/>
    <mergeCell ref="F11:Q11"/>
    <mergeCell ref="R11:R12"/>
    <mergeCell ref="A1:Z3"/>
    <mergeCell ref="A6:C6"/>
    <mergeCell ref="D6:Z6"/>
    <mergeCell ref="A7:C7"/>
    <mergeCell ref="D7:M7"/>
    <mergeCell ref="N7:R7"/>
    <mergeCell ref="S7:Z7"/>
    <mergeCell ref="A8:C8"/>
    <mergeCell ref="D8:M8"/>
    <mergeCell ref="N8:R8"/>
    <mergeCell ref="S8:Z8"/>
    <mergeCell ref="X15:X16"/>
    <mergeCell ref="Y15:Z16"/>
    <mergeCell ref="S15:S16"/>
    <mergeCell ref="T15:T16"/>
    <mergeCell ref="U15:U16"/>
    <mergeCell ref="V15:V16"/>
    <mergeCell ref="W15:W16"/>
    <mergeCell ref="A15:A16"/>
    <mergeCell ref="B15:C16"/>
    <mergeCell ref="D15:D16"/>
    <mergeCell ref="E15:E16"/>
    <mergeCell ref="R15:R16"/>
    <mergeCell ref="B17:C18"/>
    <mergeCell ref="A17:A18"/>
    <mergeCell ref="D17:D18"/>
    <mergeCell ref="E17:E18"/>
    <mergeCell ref="X19:X20"/>
    <mergeCell ref="Y19:Z20"/>
    <mergeCell ref="R17:R18"/>
    <mergeCell ref="S17:S18"/>
    <mergeCell ref="T17:T18"/>
    <mergeCell ref="U17:U18"/>
    <mergeCell ref="V17:V18"/>
    <mergeCell ref="W17:W18"/>
    <mergeCell ref="X17:X18"/>
    <mergeCell ref="S19:S20"/>
    <mergeCell ref="T19:T20"/>
    <mergeCell ref="U19:U20"/>
    <mergeCell ref="V19:V20"/>
    <mergeCell ref="W19:W20"/>
    <mergeCell ref="A19:A20"/>
    <mergeCell ref="B19:C20"/>
    <mergeCell ref="D19:D20"/>
    <mergeCell ref="E19:E20"/>
    <mergeCell ref="R19:R20"/>
  </mergeCells>
  <conditionalFormatting sqref="F13:Q22">
    <cfRule type="containsText" dxfId="18" priority="148" operator="containsText" text="N">
      <formula>NOT(ISERROR(SEARCH("N",F13)))</formula>
    </cfRule>
    <cfRule type="containsText" dxfId="17" priority="149" operator="containsText" text="R">
      <formula>NOT(ISERROR(SEARCH("R",F13)))</formula>
    </cfRule>
    <cfRule type="containsText" dxfId="16" priority="150" operator="containsText" text="E">
      <formula>NOT(ISERROR(SEARCH("E",F13)))</formula>
    </cfRule>
    <cfRule type="containsText" dxfId="15" priority="151" operator="containsText" text="P">
      <formula>NOT(ISERROR(SEARCH("P",F13)))</formula>
    </cfRule>
    <cfRule type="cellIs" dxfId="14" priority="152" operator="equal">
      <formula>2</formula>
    </cfRule>
    <cfRule type="cellIs" dxfId="13" priority="153" operator="equal">
      <formula>1</formula>
    </cfRule>
    <cfRule type="cellIs" dxfId="12" priority="154" operator="equal">
      <formula>1</formula>
    </cfRule>
    <cfRule type="cellIs" dxfId="11" priority="155" operator="equal">
      <formula>1</formula>
    </cfRule>
  </conditionalFormatting>
  <conditionalFormatting sqref="G23:Q28">
    <cfRule type="containsText" dxfId="10" priority="132" operator="containsText" text="N">
      <formula>NOT(ISERROR(SEARCH("N",G23)))</formula>
    </cfRule>
    <cfRule type="containsText" dxfId="9" priority="133" operator="containsText" text="R">
      <formula>NOT(ISERROR(SEARCH("R",G23)))</formula>
    </cfRule>
    <cfRule type="containsText" dxfId="8" priority="134" operator="containsText" text="E">
      <formula>NOT(ISERROR(SEARCH("E",G23)))</formula>
    </cfRule>
    <cfRule type="containsText" dxfId="7" priority="135" operator="containsText" text="P">
      <formula>NOT(ISERROR(SEARCH("P",G23)))</formula>
    </cfRule>
    <cfRule type="cellIs" dxfId="6" priority="136" operator="equal">
      <formula>2</formula>
    </cfRule>
    <cfRule type="cellIs" dxfId="5" priority="137" operator="equal">
      <formula>1</formula>
    </cfRule>
    <cfRule type="cellIs" dxfId="4" priority="138" operator="equal">
      <formula>1</formula>
    </cfRule>
    <cfRule type="cellIs" dxfId="3" priority="139" operator="equal">
      <formula>1</formula>
    </cfRule>
  </conditionalFormatting>
  <conditionalFormatting sqref="X13:X22">
    <cfRule type="containsText" dxfId="2" priority="1" operator="containsText" text="Realizado">
      <formula>NOT(ISERROR(SEARCH("Realizado",X13)))</formula>
    </cfRule>
    <cfRule type="containsText" dxfId="1" priority="2" operator="containsText" text="En Proceso">
      <formula>NOT(ISERROR(SEARCH("En Proceso",X13)))</formula>
    </cfRule>
    <cfRule type="containsText" dxfId="0" priority="3" operator="containsText" text="Pendiente">
      <formula>NOT(ISERROR(SEARCH("Pendiente",X13)))</formula>
    </cfRule>
  </conditionalFormatting>
  <dataValidations count="4">
    <dataValidation type="list" allowBlank="1" showInputMessage="1" showErrorMessage="1" sqref="G23:M28 O23:Q28" xr:uid="{00000000-0002-0000-0200-000000000000}">
      <formula1>$AC$3:$AC$6</formula1>
    </dataValidation>
    <dataValidation type="list" allowBlank="1" showInputMessage="1" showErrorMessage="1" sqref="WMI983064:WMI983068 WCM983064:WCM983068 VSQ983064:VSQ983068 VIU983064:VIU983068 UYY983064:UYY983068 UPC983064:UPC983068 UFG983064:UFG983068 TVK983064:TVK983068 TLO983064:TLO983068 TBS983064:TBS983068 SRW983064:SRW983068 SIA983064:SIA983068 RYE983064:RYE983068 ROI983064:ROI983068 REM983064:REM983068 QUQ983064:QUQ983068 QKU983064:QKU983068 QAY983064:QAY983068 PRC983064:PRC983068 PHG983064:PHG983068 OXK983064:OXK983068 ONO983064:ONO983068 ODS983064:ODS983068 NTW983064:NTW983068 NKA983064:NKA983068 NAE983064:NAE983068 MQI983064:MQI983068 MGM983064:MGM983068 LWQ983064:LWQ983068 LMU983064:LMU983068 LCY983064:LCY983068 KTC983064:KTC983068 KJG983064:KJG983068 JZK983064:JZK983068 JPO983064:JPO983068 JFS983064:JFS983068 IVW983064:IVW983068 IMA983064:IMA983068 ICE983064:ICE983068 HSI983064:HSI983068 HIM983064:HIM983068 GYQ983064:GYQ983068 GOU983064:GOU983068 GEY983064:GEY983068 FVC983064:FVC983068 FLG983064:FLG983068 FBK983064:FBK983068 ERO983064:ERO983068 EHS983064:EHS983068 DXW983064:DXW983068 DOA983064:DOA983068 DEE983064:DEE983068 CUI983064:CUI983068 CKM983064:CKM983068 CAQ983064:CAQ983068 BQU983064:BQU983068 BGY983064:BGY983068 AXC983064:AXC983068 ANG983064:ANG983068 ADK983064:ADK983068 TO983064:TO983068 JS983064:JS983068 X983064:X983068 WWE917528:WWE917532 WMI917528:WMI917532 WCM917528:WCM917532 VSQ917528:VSQ917532 VIU917528:VIU917532 UYY917528:UYY917532 UPC917528:UPC917532 UFG917528:UFG917532 TVK917528:TVK917532 TLO917528:TLO917532 TBS917528:TBS917532 SRW917528:SRW917532 SIA917528:SIA917532 RYE917528:RYE917532 ROI917528:ROI917532 REM917528:REM917532 QUQ917528:QUQ917532 QKU917528:QKU917532 QAY917528:QAY917532 PRC917528:PRC917532 PHG917528:PHG917532 OXK917528:OXK917532 ONO917528:ONO917532 ODS917528:ODS917532 NTW917528:NTW917532 NKA917528:NKA917532 NAE917528:NAE917532 MQI917528:MQI917532 MGM917528:MGM917532 LWQ917528:LWQ917532 LMU917528:LMU917532 LCY917528:LCY917532 KTC917528:KTC917532 KJG917528:KJG917532 JZK917528:JZK917532 JPO917528:JPO917532 JFS917528:JFS917532 IVW917528:IVW917532 IMA917528:IMA917532 ICE917528:ICE917532 HSI917528:HSI917532 HIM917528:HIM917532 GYQ917528:GYQ917532 GOU917528:GOU917532 GEY917528:GEY917532 FVC917528:FVC917532 FLG917528:FLG917532 FBK917528:FBK917532 ERO917528:ERO917532 EHS917528:EHS917532 DXW917528:DXW917532 DOA917528:DOA917532 DEE917528:DEE917532 CUI917528:CUI917532 CKM917528:CKM917532 CAQ917528:CAQ917532 BQU917528:BQU917532 BGY917528:BGY917532 AXC917528:AXC917532 ANG917528:ANG917532 ADK917528:ADK917532 TO917528:TO917532 JS917528:JS917532 X917528:X917532 WWE851992:WWE851996 WMI851992:WMI851996 WCM851992:WCM851996 VSQ851992:VSQ851996 VIU851992:VIU851996 UYY851992:UYY851996 UPC851992:UPC851996 UFG851992:UFG851996 TVK851992:TVK851996 TLO851992:TLO851996 TBS851992:TBS851996 SRW851992:SRW851996 SIA851992:SIA851996 RYE851992:RYE851996 ROI851992:ROI851996 REM851992:REM851996 QUQ851992:QUQ851996 QKU851992:QKU851996 QAY851992:QAY851996 PRC851992:PRC851996 PHG851992:PHG851996 OXK851992:OXK851996 ONO851992:ONO851996 ODS851992:ODS851996 NTW851992:NTW851996 NKA851992:NKA851996 NAE851992:NAE851996 MQI851992:MQI851996 MGM851992:MGM851996 LWQ851992:LWQ851996 LMU851992:LMU851996 LCY851992:LCY851996 KTC851992:KTC851996 KJG851992:KJG851996 JZK851992:JZK851996 JPO851992:JPO851996 JFS851992:JFS851996 IVW851992:IVW851996 IMA851992:IMA851996 ICE851992:ICE851996 HSI851992:HSI851996 HIM851992:HIM851996 GYQ851992:GYQ851996 GOU851992:GOU851996 GEY851992:GEY851996 FVC851992:FVC851996 FLG851992:FLG851996 FBK851992:FBK851996 ERO851992:ERO851996 EHS851992:EHS851996 DXW851992:DXW851996 DOA851992:DOA851996 DEE851992:DEE851996 CUI851992:CUI851996 CKM851992:CKM851996 CAQ851992:CAQ851996 BQU851992:BQU851996 BGY851992:BGY851996 AXC851992:AXC851996 ANG851992:ANG851996 ADK851992:ADK851996 TO851992:TO851996 JS851992:JS851996 X851992:X851996 WWE786456:WWE786460 WMI786456:WMI786460 WCM786456:WCM786460 VSQ786456:VSQ786460 VIU786456:VIU786460 UYY786456:UYY786460 UPC786456:UPC786460 UFG786456:UFG786460 TVK786456:TVK786460 TLO786456:TLO786460 TBS786456:TBS786460 SRW786456:SRW786460 SIA786456:SIA786460 RYE786456:RYE786460 ROI786456:ROI786460 REM786456:REM786460 QUQ786456:QUQ786460 QKU786456:QKU786460 QAY786456:QAY786460 PRC786456:PRC786460 PHG786456:PHG786460 OXK786456:OXK786460 ONO786456:ONO786460 ODS786456:ODS786460 NTW786456:NTW786460 NKA786456:NKA786460 NAE786456:NAE786460 MQI786456:MQI786460 MGM786456:MGM786460 LWQ786456:LWQ786460 LMU786456:LMU786460 LCY786456:LCY786460 KTC786456:KTC786460 KJG786456:KJG786460 JZK786456:JZK786460 JPO786456:JPO786460 JFS786456:JFS786460 IVW786456:IVW786460 IMA786456:IMA786460 ICE786456:ICE786460 HSI786456:HSI786460 HIM786456:HIM786460 GYQ786456:GYQ786460 GOU786456:GOU786460 GEY786456:GEY786460 FVC786456:FVC786460 FLG786456:FLG786460 FBK786456:FBK786460 ERO786456:ERO786460 EHS786456:EHS786460 DXW786456:DXW786460 DOA786456:DOA786460 DEE786456:DEE786460 CUI786456:CUI786460 CKM786456:CKM786460 CAQ786456:CAQ786460 BQU786456:BQU786460 BGY786456:BGY786460 AXC786456:AXC786460 ANG786456:ANG786460 ADK786456:ADK786460 TO786456:TO786460 JS786456:JS786460 X786456:X786460 WWE720920:WWE720924 WMI720920:WMI720924 WCM720920:WCM720924 VSQ720920:VSQ720924 VIU720920:VIU720924 UYY720920:UYY720924 UPC720920:UPC720924 UFG720920:UFG720924 TVK720920:TVK720924 TLO720920:TLO720924 TBS720920:TBS720924 SRW720920:SRW720924 SIA720920:SIA720924 RYE720920:RYE720924 ROI720920:ROI720924 REM720920:REM720924 QUQ720920:QUQ720924 QKU720920:QKU720924 QAY720920:QAY720924 PRC720920:PRC720924 PHG720920:PHG720924 OXK720920:OXK720924 ONO720920:ONO720924 ODS720920:ODS720924 NTW720920:NTW720924 NKA720920:NKA720924 NAE720920:NAE720924 MQI720920:MQI720924 MGM720920:MGM720924 LWQ720920:LWQ720924 LMU720920:LMU720924 LCY720920:LCY720924 KTC720920:KTC720924 KJG720920:KJG720924 JZK720920:JZK720924 JPO720920:JPO720924 JFS720920:JFS720924 IVW720920:IVW720924 IMA720920:IMA720924 ICE720920:ICE720924 HSI720920:HSI720924 HIM720920:HIM720924 GYQ720920:GYQ720924 GOU720920:GOU720924 GEY720920:GEY720924 FVC720920:FVC720924 FLG720920:FLG720924 FBK720920:FBK720924 ERO720920:ERO720924 EHS720920:EHS720924 DXW720920:DXW720924 DOA720920:DOA720924 DEE720920:DEE720924 CUI720920:CUI720924 CKM720920:CKM720924 CAQ720920:CAQ720924 BQU720920:BQU720924 BGY720920:BGY720924 AXC720920:AXC720924 ANG720920:ANG720924 ADK720920:ADK720924 TO720920:TO720924 JS720920:JS720924 X720920:X720924 WWE655384:WWE655388 WMI655384:WMI655388 WCM655384:WCM655388 VSQ655384:VSQ655388 VIU655384:VIU655388 UYY655384:UYY655388 UPC655384:UPC655388 UFG655384:UFG655388 TVK655384:TVK655388 TLO655384:TLO655388 TBS655384:TBS655388 SRW655384:SRW655388 SIA655384:SIA655388 RYE655384:RYE655388 ROI655384:ROI655388 REM655384:REM655388 QUQ655384:QUQ655388 QKU655384:QKU655388 QAY655384:QAY655388 PRC655384:PRC655388 PHG655384:PHG655388 OXK655384:OXK655388 ONO655384:ONO655388 ODS655384:ODS655388 NTW655384:NTW655388 NKA655384:NKA655388 NAE655384:NAE655388 MQI655384:MQI655388 MGM655384:MGM655388 LWQ655384:LWQ655388 LMU655384:LMU655388 LCY655384:LCY655388 KTC655384:KTC655388 KJG655384:KJG655388 JZK655384:JZK655388 JPO655384:JPO655388 JFS655384:JFS655388 IVW655384:IVW655388 IMA655384:IMA655388 ICE655384:ICE655388 HSI655384:HSI655388 HIM655384:HIM655388 GYQ655384:GYQ655388 GOU655384:GOU655388 GEY655384:GEY655388 FVC655384:FVC655388 FLG655384:FLG655388 FBK655384:FBK655388 ERO655384:ERO655388 EHS655384:EHS655388 DXW655384:DXW655388 DOA655384:DOA655388 DEE655384:DEE655388 CUI655384:CUI655388 CKM655384:CKM655388 CAQ655384:CAQ655388 BQU655384:BQU655388 BGY655384:BGY655388 AXC655384:AXC655388 ANG655384:ANG655388 ADK655384:ADK655388 TO655384:TO655388 JS655384:JS655388 X655384:X655388 WWE589848:WWE589852 WMI589848:WMI589852 WCM589848:WCM589852 VSQ589848:VSQ589852 VIU589848:VIU589852 UYY589848:UYY589852 UPC589848:UPC589852 UFG589848:UFG589852 TVK589848:TVK589852 TLO589848:TLO589852 TBS589848:TBS589852 SRW589848:SRW589852 SIA589848:SIA589852 RYE589848:RYE589852 ROI589848:ROI589852 REM589848:REM589852 QUQ589848:QUQ589852 QKU589848:QKU589852 QAY589848:QAY589852 PRC589848:PRC589852 PHG589848:PHG589852 OXK589848:OXK589852 ONO589848:ONO589852 ODS589848:ODS589852 NTW589848:NTW589852 NKA589848:NKA589852 NAE589848:NAE589852 MQI589848:MQI589852 MGM589848:MGM589852 LWQ589848:LWQ589852 LMU589848:LMU589852 LCY589848:LCY589852 KTC589848:KTC589852 KJG589848:KJG589852 JZK589848:JZK589852 JPO589848:JPO589852 JFS589848:JFS589852 IVW589848:IVW589852 IMA589848:IMA589852 ICE589848:ICE589852 HSI589848:HSI589852 HIM589848:HIM589852 GYQ589848:GYQ589852 GOU589848:GOU589852 GEY589848:GEY589852 FVC589848:FVC589852 FLG589848:FLG589852 FBK589848:FBK589852 ERO589848:ERO589852 EHS589848:EHS589852 DXW589848:DXW589852 DOA589848:DOA589852 DEE589848:DEE589852 CUI589848:CUI589852 CKM589848:CKM589852 CAQ589848:CAQ589852 BQU589848:BQU589852 BGY589848:BGY589852 AXC589848:AXC589852 ANG589848:ANG589852 ADK589848:ADK589852 TO589848:TO589852 JS589848:JS589852 X589848:X589852 WWE524312:WWE524316 WMI524312:WMI524316 WCM524312:WCM524316 VSQ524312:VSQ524316 VIU524312:VIU524316 UYY524312:UYY524316 UPC524312:UPC524316 UFG524312:UFG524316 TVK524312:TVK524316 TLO524312:TLO524316 TBS524312:TBS524316 SRW524312:SRW524316 SIA524312:SIA524316 RYE524312:RYE524316 ROI524312:ROI524316 REM524312:REM524316 QUQ524312:QUQ524316 QKU524312:QKU524316 QAY524312:QAY524316 PRC524312:PRC524316 PHG524312:PHG524316 OXK524312:OXK524316 ONO524312:ONO524316 ODS524312:ODS524316 NTW524312:NTW524316 NKA524312:NKA524316 NAE524312:NAE524316 MQI524312:MQI524316 MGM524312:MGM524316 LWQ524312:LWQ524316 LMU524312:LMU524316 LCY524312:LCY524316 KTC524312:KTC524316 KJG524312:KJG524316 JZK524312:JZK524316 JPO524312:JPO524316 JFS524312:JFS524316 IVW524312:IVW524316 IMA524312:IMA524316 ICE524312:ICE524316 HSI524312:HSI524316 HIM524312:HIM524316 GYQ524312:GYQ524316 GOU524312:GOU524316 GEY524312:GEY524316 FVC524312:FVC524316 FLG524312:FLG524316 FBK524312:FBK524316 ERO524312:ERO524316 EHS524312:EHS524316 DXW524312:DXW524316 DOA524312:DOA524316 DEE524312:DEE524316 CUI524312:CUI524316 CKM524312:CKM524316 CAQ524312:CAQ524316 BQU524312:BQU524316 BGY524312:BGY524316 AXC524312:AXC524316 ANG524312:ANG524316 ADK524312:ADK524316 TO524312:TO524316 JS524312:JS524316 X524312:X524316 WWE458776:WWE458780 WMI458776:WMI458780 WCM458776:WCM458780 VSQ458776:VSQ458780 VIU458776:VIU458780 UYY458776:UYY458780 UPC458776:UPC458780 UFG458776:UFG458780 TVK458776:TVK458780 TLO458776:TLO458780 TBS458776:TBS458780 SRW458776:SRW458780 SIA458776:SIA458780 RYE458776:RYE458780 ROI458776:ROI458780 REM458776:REM458780 QUQ458776:QUQ458780 QKU458776:QKU458780 QAY458776:QAY458780 PRC458776:PRC458780 PHG458776:PHG458780 OXK458776:OXK458780 ONO458776:ONO458780 ODS458776:ODS458780 NTW458776:NTW458780 NKA458776:NKA458780 NAE458776:NAE458780 MQI458776:MQI458780 MGM458776:MGM458780 LWQ458776:LWQ458780 LMU458776:LMU458780 LCY458776:LCY458780 KTC458776:KTC458780 KJG458776:KJG458780 JZK458776:JZK458780 JPO458776:JPO458780 JFS458776:JFS458780 IVW458776:IVW458780 IMA458776:IMA458780 ICE458776:ICE458780 HSI458776:HSI458780 HIM458776:HIM458780 GYQ458776:GYQ458780 GOU458776:GOU458780 GEY458776:GEY458780 FVC458776:FVC458780 FLG458776:FLG458780 FBK458776:FBK458780 ERO458776:ERO458780 EHS458776:EHS458780 DXW458776:DXW458780 DOA458776:DOA458780 DEE458776:DEE458780 CUI458776:CUI458780 CKM458776:CKM458780 CAQ458776:CAQ458780 BQU458776:BQU458780 BGY458776:BGY458780 AXC458776:AXC458780 ANG458776:ANG458780 ADK458776:ADK458780 TO458776:TO458780 JS458776:JS458780 X458776:X458780 WWE393240:WWE393244 WMI393240:WMI393244 WCM393240:WCM393244 VSQ393240:VSQ393244 VIU393240:VIU393244 UYY393240:UYY393244 UPC393240:UPC393244 UFG393240:UFG393244 TVK393240:TVK393244 TLO393240:TLO393244 TBS393240:TBS393244 SRW393240:SRW393244 SIA393240:SIA393244 RYE393240:RYE393244 ROI393240:ROI393244 REM393240:REM393244 QUQ393240:QUQ393244 QKU393240:QKU393244 QAY393240:QAY393244 PRC393240:PRC393244 PHG393240:PHG393244 OXK393240:OXK393244 ONO393240:ONO393244 ODS393240:ODS393244 NTW393240:NTW393244 NKA393240:NKA393244 NAE393240:NAE393244 MQI393240:MQI393244 MGM393240:MGM393244 LWQ393240:LWQ393244 LMU393240:LMU393244 LCY393240:LCY393244 KTC393240:KTC393244 KJG393240:KJG393244 JZK393240:JZK393244 JPO393240:JPO393244 JFS393240:JFS393244 IVW393240:IVW393244 IMA393240:IMA393244 ICE393240:ICE393244 HSI393240:HSI393244 HIM393240:HIM393244 GYQ393240:GYQ393244 GOU393240:GOU393244 GEY393240:GEY393244 FVC393240:FVC393244 FLG393240:FLG393244 FBK393240:FBK393244 ERO393240:ERO393244 EHS393240:EHS393244 DXW393240:DXW393244 DOA393240:DOA393244 DEE393240:DEE393244 CUI393240:CUI393244 CKM393240:CKM393244 CAQ393240:CAQ393244 BQU393240:BQU393244 BGY393240:BGY393244 AXC393240:AXC393244 ANG393240:ANG393244 ADK393240:ADK393244 TO393240:TO393244 JS393240:JS393244 X393240:X393244 WWE327704:WWE327708 WMI327704:WMI327708 WCM327704:WCM327708 VSQ327704:VSQ327708 VIU327704:VIU327708 UYY327704:UYY327708 UPC327704:UPC327708 UFG327704:UFG327708 TVK327704:TVK327708 TLO327704:TLO327708 TBS327704:TBS327708 SRW327704:SRW327708 SIA327704:SIA327708 RYE327704:RYE327708 ROI327704:ROI327708 REM327704:REM327708 QUQ327704:QUQ327708 QKU327704:QKU327708 QAY327704:QAY327708 PRC327704:PRC327708 PHG327704:PHG327708 OXK327704:OXK327708 ONO327704:ONO327708 ODS327704:ODS327708 NTW327704:NTW327708 NKA327704:NKA327708 NAE327704:NAE327708 MQI327704:MQI327708 MGM327704:MGM327708 LWQ327704:LWQ327708 LMU327704:LMU327708 LCY327704:LCY327708 KTC327704:KTC327708 KJG327704:KJG327708 JZK327704:JZK327708 JPO327704:JPO327708 JFS327704:JFS327708 IVW327704:IVW327708 IMA327704:IMA327708 ICE327704:ICE327708 HSI327704:HSI327708 HIM327704:HIM327708 GYQ327704:GYQ327708 GOU327704:GOU327708 GEY327704:GEY327708 FVC327704:FVC327708 FLG327704:FLG327708 FBK327704:FBK327708 ERO327704:ERO327708 EHS327704:EHS327708 DXW327704:DXW327708 DOA327704:DOA327708 DEE327704:DEE327708 CUI327704:CUI327708 CKM327704:CKM327708 CAQ327704:CAQ327708 BQU327704:BQU327708 BGY327704:BGY327708 AXC327704:AXC327708 ANG327704:ANG327708 ADK327704:ADK327708 TO327704:TO327708 JS327704:JS327708 X327704:X327708 WWE262168:WWE262172 WMI262168:WMI262172 WCM262168:WCM262172 VSQ262168:VSQ262172 VIU262168:VIU262172 UYY262168:UYY262172 UPC262168:UPC262172 UFG262168:UFG262172 TVK262168:TVK262172 TLO262168:TLO262172 TBS262168:TBS262172 SRW262168:SRW262172 SIA262168:SIA262172 RYE262168:RYE262172 ROI262168:ROI262172 REM262168:REM262172 QUQ262168:QUQ262172 QKU262168:QKU262172 QAY262168:QAY262172 PRC262168:PRC262172 PHG262168:PHG262172 OXK262168:OXK262172 ONO262168:ONO262172 ODS262168:ODS262172 NTW262168:NTW262172 NKA262168:NKA262172 NAE262168:NAE262172 MQI262168:MQI262172 MGM262168:MGM262172 LWQ262168:LWQ262172 LMU262168:LMU262172 LCY262168:LCY262172 KTC262168:KTC262172 KJG262168:KJG262172 JZK262168:JZK262172 JPO262168:JPO262172 JFS262168:JFS262172 IVW262168:IVW262172 IMA262168:IMA262172 ICE262168:ICE262172 HSI262168:HSI262172 HIM262168:HIM262172 GYQ262168:GYQ262172 GOU262168:GOU262172 GEY262168:GEY262172 FVC262168:FVC262172 FLG262168:FLG262172 FBK262168:FBK262172 ERO262168:ERO262172 EHS262168:EHS262172 DXW262168:DXW262172 DOA262168:DOA262172 DEE262168:DEE262172 CUI262168:CUI262172 CKM262168:CKM262172 CAQ262168:CAQ262172 BQU262168:BQU262172 BGY262168:BGY262172 AXC262168:AXC262172 ANG262168:ANG262172 ADK262168:ADK262172 TO262168:TO262172 JS262168:JS262172 X262168:X262172 WWE196632:WWE196636 WMI196632:WMI196636 WCM196632:WCM196636 VSQ196632:VSQ196636 VIU196632:VIU196636 UYY196632:UYY196636 UPC196632:UPC196636 UFG196632:UFG196636 TVK196632:TVK196636 TLO196632:TLO196636 TBS196632:TBS196636 SRW196632:SRW196636 SIA196632:SIA196636 RYE196632:RYE196636 ROI196632:ROI196636 REM196632:REM196636 QUQ196632:QUQ196636 QKU196632:QKU196636 QAY196632:QAY196636 PRC196632:PRC196636 PHG196632:PHG196636 OXK196632:OXK196636 ONO196632:ONO196636 ODS196632:ODS196636 NTW196632:NTW196636 NKA196632:NKA196636 NAE196632:NAE196636 MQI196632:MQI196636 MGM196632:MGM196636 LWQ196632:LWQ196636 LMU196632:LMU196636 LCY196632:LCY196636 KTC196632:KTC196636 KJG196632:KJG196636 JZK196632:JZK196636 JPO196632:JPO196636 JFS196632:JFS196636 IVW196632:IVW196636 IMA196632:IMA196636 ICE196632:ICE196636 HSI196632:HSI196636 HIM196632:HIM196636 GYQ196632:GYQ196636 GOU196632:GOU196636 GEY196632:GEY196636 FVC196632:FVC196636 FLG196632:FLG196636 FBK196632:FBK196636 ERO196632:ERO196636 EHS196632:EHS196636 DXW196632:DXW196636 DOA196632:DOA196636 DEE196632:DEE196636 CUI196632:CUI196636 CKM196632:CKM196636 CAQ196632:CAQ196636 BQU196632:BQU196636 BGY196632:BGY196636 AXC196632:AXC196636 ANG196632:ANG196636 ADK196632:ADK196636 TO196632:TO196636 JS196632:JS196636 X196632:X196636 WWE131096:WWE131100 WMI131096:WMI131100 WCM131096:WCM131100 VSQ131096:VSQ131100 VIU131096:VIU131100 UYY131096:UYY131100 UPC131096:UPC131100 UFG131096:UFG131100 TVK131096:TVK131100 TLO131096:TLO131100 TBS131096:TBS131100 SRW131096:SRW131100 SIA131096:SIA131100 RYE131096:RYE131100 ROI131096:ROI131100 REM131096:REM131100 QUQ131096:QUQ131100 QKU131096:QKU131100 QAY131096:QAY131100 PRC131096:PRC131100 PHG131096:PHG131100 OXK131096:OXK131100 ONO131096:ONO131100 ODS131096:ODS131100 NTW131096:NTW131100 NKA131096:NKA131100 NAE131096:NAE131100 MQI131096:MQI131100 MGM131096:MGM131100 LWQ131096:LWQ131100 LMU131096:LMU131100 LCY131096:LCY131100 KTC131096:KTC131100 KJG131096:KJG131100 JZK131096:JZK131100 JPO131096:JPO131100 JFS131096:JFS131100 IVW131096:IVW131100 IMA131096:IMA131100 ICE131096:ICE131100 HSI131096:HSI131100 HIM131096:HIM131100 GYQ131096:GYQ131100 GOU131096:GOU131100 GEY131096:GEY131100 FVC131096:FVC131100 FLG131096:FLG131100 FBK131096:FBK131100 ERO131096:ERO131100 EHS131096:EHS131100 DXW131096:DXW131100 DOA131096:DOA131100 DEE131096:DEE131100 CUI131096:CUI131100 CKM131096:CKM131100 CAQ131096:CAQ131100 BQU131096:BQU131100 BGY131096:BGY131100 AXC131096:AXC131100 ANG131096:ANG131100 ADK131096:ADK131100 TO131096:TO131100 JS131096:JS131100 X131096:X131100 WWE65560:WWE65564 WMI65560:WMI65564 WCM65560:WCM65564 VSQ65560:VSQ65564 VIU65560:VIU65564 UYY65560:UYY65564 UPC65560:UPC65564 UFG65560:UFG65564 TVK65560:TVK65564 TLO65560:TLO65564 TBS65560:TBS65564 SRW65560:SRW65564 SIA65560:SIA65564 RYE65560:RYE65564 ROI65560:ROI65564 REM65560:REM65564 QUQ65560:QUQ65564 QKU65560:QKU65564 QAY65560:QAY65564 PRC65560:PRC65564 PHG65560:PHG65564 OXK65560:OXK65564 ONO65560:ONO65564 ODS65560:ODS65564 NTW65560:NTW65564 NKA65560:NKA65564 NAE65560:NAE65564 MQI65560:MQI65564 MGM65560:MGM65564 LWQ65560:LWQ65564 LMU65560:LMU65564 LCY65560:LCY65564 KTC65560:KTC65564 KJG65560:KJG65564 JZK65560:JZK65564 JPO65560:JPO65564 JFS65560:JFS65564 IVW65560:IVW65564 IMA65560:IMA65564 ICE65560:ICE65564 HSI65560:HSI65564 HIM65560:HIM65564 GYQ65560:GYQ65564 GOU65560:GOU65564 GEY65560:GEY65564 FVC65560:FVC65564 FLG65560:FLG65564 FBK65560:FBK65564 ERO65560:ERO65564 EHS65560:EHS65564 DXW65560:DXW65564 DOA65560:DOA65564 DEE65560:DEE65564 CUI65560:CUI65564 CKM65560:CKM65564 CAQ65560:CAQ65564 BQU65560:BQU65564 BGY65560:BGY65564 AXC65560:AXC65564 ANG65560:ANG65564 ADK65560:ADK65564 TO65560:TO65564 JS65560:JS65564 X65560:X65564 WWE983064:WWE983068 X27 X23 X25 ANG13:ANG28 AXC13:AXC28 BGY13:BGY28 BQU13:BQU28 CAQ13:CAQ28 CKM13:CKM28 CUI13:CUI28 DEE13:DEE28 DOA13:DOA28 DXW13:DXW28 EHS13:EHS28 ERO13:ERO28 FBK13:FBK28 FLG13:FLG28 FVC13:FVC28 GEY13:GEY28 GOU13:GOU28 GYQ13:GYQ28 HIM13:HIM28 HSI13:HSI28 ICE13:ICE28 IMA13:IMA28 IVW13:IVW28 JFS13:JFS28 JPO13:JPO28 JZK13:JZK28 KJG13:KJG28 KTC13:KTC28 LCY13:LCY28 LMU13:LMU28 LWQ13:LWQ28 MGM13:MGM28 MQI13:MQI28 NAE13:NAE28 NKA13:NKA28 NTW13:NTW28 ODS13:ODS28 ONO13:ONO28 OXK13:OXK28 PHG13:PHG28 PRC13:PRC28 QAY13:QAY28 QKU13:QKU28 QUQ13:QUQ28 REM13:REM28 ROI13:ROI28 RYE13:RYE28 SIA13:SIA28 SRW13:SRW28 TBS13:TBS28 TLO13:TLO28 TVK13:TVK28 UFG13:UFG28 UPC13:UPC28 UYY13:UYY28 VIU13:VIU28 VSQ13:VSQ28 WCM13:WCM28 WMI13:WMI28 WWE13:WWE28 JS13:JS28 TO13:TO28 ADK13:ADK28" xr:uid="{00000000-0002-0000-0200-000001000000}">
      <formula1>#REF!</formula1>
    </dataValidation>
    <dataValidation type="list" allowBlank="1" showInputMessage="1" showErrorMessage="1" sqref="X13:X22" xr:uid="{8C5E3C60-7C1E-4D7E-9F01-105FF72BFD89}">
      <formula1>"Pendiente, En Proceso, Realizado"</formula1>
    </dataValidation>
    <dataValidation type="list" allowBlank="1" showInputMessage="1" showErrorMessage="1" sqref="N13:N28 F13:M22 O13:Q22" xr:uid="{909DF425-2B3E-40FF-8378-83DC63E6FA43}">
      <formula1>"P, E, R, N"</formula1>
    </dataValidation>
  </dataValidations>
  <printOptions horizontalCentered="1" verticalCentered="1"/>
  <pageMargins left="0.59055118110236227" right="0.59055118110236227" top="0.55118110236220474" bottom="0.59055118110236227" header="0.19685039370078741" footer="0.19685039370078741"/>
  <pageSetup paperSize="9" scale="43" orientation="landscape" r:id="rId1"/>
  <headerFooter scaleWithDoc="0"/>
  <colBreaks count="1" manualBreakCount="1">
    <brk id="2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4BDA-6034-494F-AB4A-3798DFF5EC2F}">
  <sheetPr>
    <tabColor rgb="FF92D050"/>
  </sheetPr>
  <dimension ref="A1:H8"/>
  <sheetViews>
    <sheetView showGridLines="0" workbookViewId="0">
      <selection sqref="A1:H8"/>
    </sheetView>
  </sheetViews>
  <sheetFormatPr baseColWidth="10" defaultColWidth="11.453125" defaultRowHeight="12.5"/>
  <cols>
    <col min="1" max="1" width="6.54296875" customWidth="1"/>
    <col min="2" max="2" width="15.81640625" customWidth="1"/>
  </cols>
  <sheetData>
    <row r="1" spans="1:8">
      <c r="A1" s="371" t="s">
        <v>146</v>
      </c>
      <c r="B1" s="371" t="s">
        <v>147</v>
      </c>
      <c r="C1" s="373" t="s">
        <v>148</v>
      </c>
      <c r="D1" s="374"/>
      <c r="E1" s="374"/>
      <c r="F1" s="374"/>
      <c r="G1" s="374"/>
      <c r="H1" s="375"/>
    </row>
    <row r="2" spans="1:8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149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ht="15.5">
      <c r="A4" s="159">
        <v>1</v>
      </c>
      <c r="B4" s="160" t="s">
        <v>154</v>
      </c>
      <c r="C4" s="161">
        <v>45673</v>
      </c>
      <c r="D4" s="161">
        <v>45697</v>
      </c>
      <c r="E4" s="162"/>
      <c r="F4" s="160">
        <v>1</v>
      </c>
      <c r="G4" s="160">
        <v>118</v>
      </c>
      <c r="H4" s="163">
        <f>G4-F4</f>
        <v>117</v>
      </c>
    </row>
    <row r="5" spans="1:8" ht="15.5">
      <c r="A5" s="159">
        <v>2</v>
      </c>
      <c r="B5" s="164" t="s">
        <v>155</v>
      </c>
      <c r="C5" s="165">
        <v>45672</v>
      </c>
      <c r="D5" s="165">
        <v>45716</v>
      </c>
      <c r="E5" s="162"/>
      <c r="F5" s="164">
        <v>-1</v>
      </c>
      <c r="G5" s="164">
        <v>130</v>
      </c>
      <c r="H5" s="163">
        <f t="shared" ref="H5:H6" si="0">G5-F5</f>
        <v>131</v>
      </c>
    </row>
    <row r="6" spans="1:8" ht="15.5">
      <c r="A6" s="159">
        <v>3</v>
      </c>
      <c r="B6" s="160" t="s">
        <v>156</v>
      </c>
      <c r="C6" s="161">
        <v>45672</v>
      </c>
      <c r="D6" s="161">
        <v>45702</v>
      </c>
      <c r="E6" s="162"/>
      <c r="F6" s="160">
        <v>-2</v>
      </c>
      <c r="G6" s="160">
        <v>97</v>
      </c>
      <c r="H6" s="163">
        <f t="shared" si="0"/>
        <v>99</v>
      </c>
    </row>
    <row r="7" spans="1:8" ht="15.5">
      <c r="A7" s="379" t="s">
        <v>157</v>
      </c>
      <c r="B7" s="379"/>
      <c r="C7" s="379"/>
      <c r="D7" s="144"/>
      <c r="E7" s="144"/>
      <c r="F7" s="144">
        <f>SUM(F4:F6)</f>
        <v>-2</v>
      </c>
      <c r="G7" s="144">
        <f>SUM(G4:G6)</f>
        <v>345</v>
      </c>
      <c r="H7" s="144">
        <f>SUM(H4:H6)</f>
        <v>347</v>
      </c>
    </row>
    <row r="8" spans="1:8" ht="15.5">
      <c r="A8" s="380" t="s">
        <v>158</v>
      </c>
      <c r="B8" s="381"/>
      <c r="C8" s="381"/>
      <c r="D8" s="381"/>
      <c r="E8" s="381"/>
      <c r="F8" s="381"/>
      <c r="G8" s="145">
        <f>H7/G7</f>
        <v>1.0057971014492753</v>
      </c>
      <c r="H8" s="146"/>
    </row>
  </sheetData>
  <mergeCells count="5">
    <mergeCell ref="A1:A3"/>
    <mergeCell ref="B1:B3"/>
    <mergeCell ref="C1:H2"/>
    <mergeCell ref="A7:C7"/>
    <mergeCell ref="A8:F8"/>
  </mergeCells>
  <phoneticPr fontId="4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E132-57F4-4BE0-9C08-8F1046C5DED3}">
  <sheetPr>
    <tabColor rgb="FF92D050"/>
  </sheetPr>
  <dimension ref="A1:H13"/>
  <sheetViews>
    <sheetView showGridLines="0" workbookViewId="0">
      <selection activeCell="A9" sqref="A9:XFD9"/>
    </sheetView>
  </sheetViews>
  <sheetFormatPr baseColWidth="10" defaultColWidth="11.453125" defaultRowHeight="12.5"/>
  <cols>
    <col min="2" max="2" width="16.81640625" bestFit="1" customWidth="1"/>
    <col min="5" max="5" width="0" hidden="1" customWidth="1"/>
  </cols>
  <sheetData>
    <row r="1" spans="1:8" ht="12.65" customHeight="1">
      <c r="A1" s="371" t="s">
        <v>146</v>
      </c>
      <c r="B1" s="371" t="s">
        <v>147</v>
      </c>
      <c r="C1" s="373" t="s">
        <v>159</v>
      </c>
      <c r="D1" s="374"/>
      <c r="E1" s="374"/>
      <c r="F1" s="374"/>
      <c r="G1" s="374"/>
      <c r="H1" s="375"/>
    </row>
    <row r="2" spans="1:8" ht="12.65" customHeight="1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ht="16" thickBot="1">
      <c r="A4" s="148">
        <v>1</v>
      </c>
      <c r="B4" s="156" t="s">
        <v>161</v>
      </c>
      <c r="C4" s="167">
        <v>45686</v>
      </c>
      <c r="D4" s="167">
        <v>45750</v>
      </c>
      <c r="E4" s="149"/>
      <c r="F4" s="166">
        <v>0.98</v>
      </c>
      <c r="G4" s="169">
        <v>65</v>
      </c>
      <c r="H4" s="150">
        <f>G4-F4</f>
        <v>64.02</v>
      </c>
    </row>
    <row r="5" spans="1:8" ht="16" thickBot="1">
      <c r="A5" s="148">
        <v>2</v>
      </c>
      <c r="B5" s="156" t="s">
        <v>162</v>
      </c>
      <c r="C5" s="168">
        <v>45685</v>
      </c>
      <c r="D5" s="168">
        <v>45728</v>
      </c>
      <c r="E5" s="149"/>
      <c r="F5" s="166">
        <v>1</v>
      </c>
      <c r="G5" s="169">
        <v>44</v>
      </c>
      <c r="H5" s="150">
        <f t="shared" ref="H5:H11" si="0">G5-F5</f>
        <v>43</v>
      </c>
    </row>
    <row r="6" spans="1:8" ht="16" thickBot="1">
      <c r="A6" s="148">
        <v>3</v>
      </c>
      <c r="B6" s="156" t="s">
        <v>155</v>
      </c>
      <c r="C6" s="167">
        <v>45672</v>
      </c>
      <c r="D6" s="167">
        <v>45713</v>
      </c>
      <c r="E6" s="149"/>
      <c r="F6" s="166">
        <v>0</v>
      </c>
      <c r="G6" s="169">
        <v>42</v>
      </c>
      <c r="H6" s="150">
        <f t="shared" si="0"/>
        <v>42</v>
      </c>
    </row>
    <row r="7" spans="1:8" ht="16" thickBot="1">
      <c r="A7" s="148">
        <v>4</v>
      </c>
      <c r="B7" s="156" t="s">
        <v>163</v>
      </c>
      <c r="C7" s="168">
        <v>45688</v>
      </c>
      <c r="D7" s="168">
        <v>45741</v>
      </c>
      <c r="E7" s="149"/>
      <c r="F7" s="166">
        <v>-0.5</v>
      </c>
      <c r="G7" s="169">
        <v>54</v>
      </c>
      <c r="H7" s="150">
        <f t="shared" si="0"/>
        <v>54.5</v>
      </c>
    </row>
    <row r="8" spans="1:8" ht="16" thickBot="1">
      <c r="A8" s="148">
        <v>5</v>
      </c>
      <c r="B8" s="156" t="s">
        <v>164</v>
      </c>
      <c r="C8" s="167">
        <v>45687</v>
      </c>
      <c r="D8" s="167">
        <v>45738</v>
      </c>
      <c r="E8" s="149"/>
      <c r="F8" s="166">
        <v>0.38700000000000001</v>
      </c>
      <c r="G8" s="169">
        <v>52</v>
      </c>
      <c r="H8" s="150">
        <f t="shared" si="0"/>
        <v>51.613</v>
      </c>
    </row>
    <row r="9" spans="1:8" ht="16" thickBot="1">
      <c r="A9" s="148">
        <v>6</v>
      </c>
      <c r="B9" s="156" t="s">
        <v>165</v>
      </c>
      <c r="C9" s="168">
        <v>45691</v>
      </c>
      <c r="D9" s="168">
        <v>45734</v>
      </c>
      <c r="E9" s="149"/>
      <c r="F9" s="166">
        <v>0</v>
      </c>
      <c r="G9" s="169">
        <v>44</v>
      </c>
      <c r="H9" s="150">
        <f t="shared" si="0"/>
        <v>44</v>
      </c>
    </row>
    <row r="10" spans="1:8" ht="16" thickBot="1">
      <c r="A10" s="148">
        <v>7</v>
      </c>
      <c r="B10" s="156" t="s">
        <v>156</v>
      </c>
      <c r="C10" s="167">
        <v>45672</v>
      </c>
      <c r="D10" s="167">
        <v>45712</v>
      </c>
      <c r="E10" s="149"/>
      <c r="F10" s="166">
        <v>0</v>
      </c>
      <c r="G10" s="169">
        <v>41</v>
      </c>
      <c r="H10" s="150">
        <f t="shared" si="0"/>
        <v>41</v>
      </c>
    </row>
    <row r="11" spans="1:8" ht="16" thickBot="1">
      <c r="A11" s="148">
        <v>8</v>
      </c>
      <c r="B11" s="156" t="s">
        <v>166</v>
      </c>
      <c r="C11" s="168">
        <v>45696</v>
      </c>
      <c r="D11" s="168">
        <v>45737</v>
      </c>
      <c r="E11" s="149"/>
      <c r="F11" s="166">
        <v>0</v>
      </c>
      <c r="G11" s="169">
        <v>42</v>
      </c>
      <c r="H11" s="150">
        <f t="shared" si="0"/>
        <v>42</v>
      </c>
    </row>
    <row r="12" spans="1:8" ht="16" thickBot="1">
      <c r="A12" s="379" t="s">
        <v>157</v>
      </c>
      <c r="B12" s="379"/>
      <c r="C12" s="379"/>
      <c r="D12" s="144"/>
      <c r="E12" s="144"/>
      <c r="F12" s="144">
        <f>SUM(F4:F11)</f>
        <v>1.867</v>
      </c>
      <c r="G12" s="144">
        <f>SUM(G4:G11)</f>
        <v>384</v>
      </c>
      <c r="H12" s="144">
        <f>SUM(H4:H11)</f>
        <v>382.13299999999998</v>
      </c>
    </row>
    <row r="13" spans="1:8" ht="16" thickBot="1">
      <c r="A13" s="380" t="s">
        <v>158</v>
      </c>
      <c r="B13" s="381"/>
      <c r="C13" s="381"/>
      <c r="D13" s="381"/>
      <c r="E13" s="381"/>
      <c r="F13" s="381"/>
      <c r="G13" s="145">
        <f>H12/G12</f>
        <v>0.99513802083333325</v>
      </c>
      <c r="H13" s="146"/>
    </row>
  </sheetData>
  <mergeCells count="5">
    <mergeCell ref="A1:A3"/>
    <mergeCell ref="B1:B3"/>
    <mergeCell ref="C1:H2"/>
    <mergeCell ref="A12:C12"/>
    <mergeCell ref="A13:F13"/>
  </mergeCells>
  <phoneticPr fontId="3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EA8F-B8BE-40BE-8100-480CAC68C1FE}">
  <sheetPr>
    <tabColor rgb="FF92D050"/>
  </sheetPr>
  <dimension ref="A1:I13"/>
  <sheetViews>
    <sheetView showGridLines="0" workbookViewId="0">
      <selection activeCell="G13" sqref="G13"/>
    </sheetView>
  </sheetViews>
  <sheetFormatPr baseColWidth="10" defaultColWidth="11.453125" defaultRowHeight="12.5"/>
  <cols>
    <col min="2" max="2" width="16.81640625" bestFit="1" customWidth="1"/>
    <col min="9" max="9" width="17.81640625" bestFit="1" customWidth="1"/>
  </cols>
  <sheetData>
    <row r="1" spans="1:9" ht="12.65" customHeight="1">
      <c r="A1" s="371" t="s">
        <v>146</v>
      </c>
      <c r="B1" s="371" t="s">
        <v>147</v>
      </c>
      <c r="C1" s="373" t="s">
        <v>167</v>
      </c>
      <c r="D1" s="374"/>
      <c r="E1" s="374"/>
      <c r="F1" s="374"/>
      <c r="G1" s="374"/>
      <c r="H1" s="375"/>
    </row>
    <row r="2" spans="1:9" ht="12.65" customHeight="1">
      <c r="A2" s="372"/>
      <c r="B2" s="372"/>
      <c r="C2" s="376"/>
      <c r="D2" s="377"/>
      <c r="E2" s="377"/>
      <c r="F2" s="377"/>
      <c r="G2" s="377"/>
      <c r="H2" s="378"/>
    </row>
    <row r="3" spans="1:9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  <c r="I3" s="153"/>
    </row>
    <row r="4" spans="1:9" ht="15.5">
      <c r="A4" s="148">
        <v>1</v>
      </c>
      <c r="B4" s="156" t="s">
        <v>161</v>
      </c>
      <c r="C4" s="170">
        <v>45686</v>
      </c>
      <c r="D4" s="170">
        <v>45750</v>
      </c>
      <c r="E4" s="149">
        <v>45744</v>
      </c>
      <c r="F4" s="175">
        <v>0</v>
      </c>
      <c r="G4" s="171">
        <f>D4-C4+1</f>
        <v>65</v>
      </c>
      <c r="H4" s="150">
        <f>G4-F4</f>
        <v>65</v>
      </c>
      <c r="I4" s="153"/>
    </row>
    <row r="5" spans="1:9" ht="16" thickBot="1">
      <c r="A5" s="148">
        <v>2</v>
      </c>
      <c r="B5" s="156" t="s">
        <v>162</v>
      </c>
      <c r="C5" s="168">
        <v>45685</v>
      </c>
      <c r="D5" s="168">
        <v>45728</v>
      </c>
      <c r="E5" s="149">
        <v>45728</v>
      </c>
      <c r="F5" s="175">
        <v>0</v>
      </c>
      <c r="G5" s="171">
        <f>D5-C5+1</f>
        <v>44</v>
      </c>
      <c r="H5" s="150">
        <f t="shared" ref="H5:H6" si="0">G5-F5</f>
        <v>44</v>
      </c>
    </row>
    <row r="6" spans="1:9" ht="16" thickBot="1">
      <c r="A6" s="148">
        <v>6</v>
      </c>
      <c r="B6" s="156" t="s">
        <v>165</v>
      </c>
      <c r="C6" s="168">
        <v>45691</v>
      </c>
      <c r="D6" s="168">
        <v>45738</v>
      </c>
      <c r="E6" s="149">
        <v>45737</v>
      </c>
      <c r="F6" s="175">
        <v>0</v>
      </c>
      <c r="G6" s="171">
        <f t="shared" ref="G6:G11" si="1">D6-C6+1</f>
        <v>48</v>
      </c>
      <c r="H6" s="150">
        <f t="shared" si="0"/>
        <v>48</v>
      </c>
    </row>
    <row r="7" spans="1:9" ht="15.5">
      <c r="A7" s="148">
        <v>2</v>
      </c>
      <c r="B7" s="156" t="s">
        <v>163</v>
      </c>
      <c r="C7" s="172">
        <v>45688</v>
      </c>
      <c r="D7" s="172">
        <v>45744</v>
      </c>
      <c r="E7" s="149">
        <v>45744</v>
      </c>
      <c r="F7" s="175">
        <v>0</v>
      </c>
      <c r="G7" s="171">
        <f t="shared" si="1"/>
        <v>57</v>
      </c>
      <c r="H7" s="150">
        <f t="shared" ref="H7:H11" si="2">G7-F7</f>
        <v>57</v>
      </c>
    </row>
    <row r="8" spans="1:9" ht="15.5">
      <c r="A8" s="148">
        <v>3</v>
      </c>
      <c r="B8" s="156" t="s">
        <v>164</v>
      </c>
      <c r="C8" s="170">
        <v>45687</v>
      </c>
      <c r="D8" s="170">
        <v>45742</v>
      </c>
      <c r="E8" s="149">
        <v>45742</v>
      </c>
      <c r="F8" s="175">
        <v>0</v>
      </c>
      <c r="G8" s="171">
        <f t="shared" si="1"/>
        <v>56</v>
      </c>
      <c r="H8" s="150">
        <f t="shared" si="2"/>
        <v>56</v>
      </c>
      <c r="I8" s="153"/>
    </row>
    <row r="9" spans="1:9" ht="15.5">
      <c r="A9" s="148">
        <v>5</v>
      </c>
      <c r="B9" s="156" t="s">
        <v>166</v>
      </c>
      <c r="C9" s="172">
        <v>45696</v>
      </c>
      <c r="D9" s="172">
        <v>45745</v>
      </c>
      <c r="E9" s="149">
        <v>45745</v>
      </c>
      <c r="F9" s="175">
        <v>0</v>
      </c>
      <c r="G9" s="171">
        <f t="shared" si="1"/>
        <v>50</v>
      </c>
      <c r="H9" s="150">
        <f t="shared" si="2"/>
        <v>50</v>
      </c>
    </row>
    <row r="10" spans="1:9" ht="16" thickBot="1">
      <c r="A10" s="148">
        <v>6</v>
      </c>
      <c r="B10" s="156" t="s">
        <v>168</v>
      </c>
      <c r="C10" s="173">
        <v>45715</v>
      </c>
      <c r="D10" s="174">
        <v>45759</v>
      </c>
      <c r="E10" s="149"/>
      <c r="F10" s="175">
        <v>0</v>
      </c>
      <c r="G10" s="171">
        <f t="shared" si="1"/>
        <v>45</v>
      </c>
      <c r="H10" s="150">
        <f t="shared" si="2"/>
        <v>45</v>
      </c>
    </row>
    <row r="11" spans="1:9" ht="16" thickBot="1">
      <c r="A11" s="148">
        <v>7</v>
      </c>
      <c r="B11" s="156" t="s">
        <v>169</v>
      </c>
      <c r="C11" s="173">
        <v>45730</v>
      </c>
      <c r="D11" s="174">
        <v>45789</v>
      </c>
      <c r="E11" s="149"/>
      <c r="F11" s="175">
        <v>0</v>
      </c>
      <c r="G11" s="171">
        <f t="shared" si="1"/>
        <v>60</v>
      </c>
      <c r="H11" s="150">
        <f t="shared" si="2"/>
        <v>60</v>
      </c>
    </row>
    <row r="12" spans="1:9" ht="16" thickBot="1">
      <c r="A12" s="379" t="s">
        <v>157</v>
      </c>
      <c r="B12" s="379"/>
      <c r="C12" s="379"/>
      <c r="D12" s="144"/>
      <c r="E12" s="144"/>
      <c r="F12" s="144">
        <f>SUM(F4:F11)</f>
        <v>0</v>
      </c>
      <c r="G12" s="144">
        <f>SUM(G4:G11)</f>
        <v>425</v>
      </c>
      <c r="H12" s="144">
        <f>SUM(H4:H11)</f>
        <v>425</v>
      </c>
    </row>
    <row r="13" spans="1:9" ht="16" thickBot="1">
      <c r="A13" s="380" t="s">
        <v>158</v>
      </c>
      <c r="B13" s="381"/>
      <c r="C13" s="381"/>
      <c r="D13" s="381"/>
      <c r="E13" s="381"/>
      <c r="F13" s="381"/>
      <c r="G13" s="145">
        <f>H12/G12</f>
        <v>1</v>
      </c>
      <c r="H13" s="146"/>
    </row>
  </sheetData>
  <mergeCells count="5">
    <mergeCell ref="A12:C12"/>
    <mergeCell ref="A13:F13"/>
    <mergeCell ref="A1:A3"/>
    <mergeCell ref="B1:B3"/>
    <mergeCell ref="C1:H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706D-B6B9-4F63-AB86-FE4771BAC2DC}">
  <sheetPr>
    <tabColor rgb="FF92D050"/>
  </sheetPr>
  <dimension ref="A1:I9"/>
  <sheetViews>
    <sheetView showGridLines="0" workbookViewId="0">
      <selection sqref="A1:XFD1048576"/>
    </sheetView>
  </sheetViews>
  <sheetFormatPr baseColWidth="10" defaultColWidth="11.453125" defaultRowHeight="12.5"/>
  <cols>
    <col min="2" max="2" width="16.81640625" bestFit="1" customWidth="1"/>
    <col min="9" max="9" width="17.81640625" bestFit="1" customWidth="1"/>
  </cols>
  <sheetData>
    <row r="1" spans="1:9" ht="12.65" customHeight="1">
      <c r="A1" s="371" t="s">
        <v>146</v>
      </c>
      <c r="B1" s="371" t="s">
        <v>147</v>
      </c>
      <c r="C1" s="373" t="s">
        <v>170</v>
      </c>
      <c r="D1" s="374"/>
      <c r="E1" s="374"/>
      <c r="F1" s="374"/>
      <c r="G1" s="374"/>
      <c r="H1" s="375"/>
    </row>
    <row r="2" spans="1:9" ht="12.65" customHeight="1">
      <c r="A2" s="372"/>
      <c r="B2" s="372"/>
      <c r="C2" s="376"/>
      <c r="D2" s="377"/>
      <c r="E2" s="377"/>
      <c r="F2" s="377"/>
      <c r="G2" s="377"/>
      <c r="H2" s="378"/>
    </row>
    <row r="3" spans="1:9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  <c r="I3" s="153"/>
    </row>
    <row r="4" spans="1:9" ht="16" thickBot="1">
      <c r="A4" s="148">
        <v>6</v>
      </c>
      <c r="B4" s="156" t="s">
        <v>168</v>
      </c>
      <c r="C4" s="173">
        <v>45715</v>
      </c>
      <c r="D4" s="174">
        <v>45762</v>
      </c>
      <c r="E4" s="149">
        <v>45762</v>
      </c>
      <c r="F4" s="175">
        <v>0</v>
      </c>
      <c r="G4" s="171">
        <f t="shared" ref="G4:G5" si="0">D4-C4+1</f>
        <v>48</v>
      </c>
      <c r="H4" s="150">
        <f t="shared" ref="H4:H5" si="1">G4-F4</f>
        <v>48</v>
      </c>
    </row>
    <row r="5" spans="1:9" ht="16" thickBot="1">
      <c r="A5" s="148">
        <v>7</v>
      </c>
      <c r="B5" s="156" t="s">
        <v>169</v>
      </c>
      <c r="C5" s="173">
        <v>45730</v>
      </c>
      <c r="D5" s="174">
        <v>45775</v>
      </c>
      <c r="E5" s="149">
        <v>45775</v>
      </c>
      <c r="F5" s="175">
        <v>0</v>
      </c>
      <c r="G5" s="171">
        <f t="shared" si="0"/>
        <v>46</v>
      </c>
      <c r="H5" s="150">
        <f t="shared" si="1"/>
        <v>46</v>
      </c>
    </row>
    <row r="6" spans="1:9" ht="15.5">
      <c r="A6" s="155"/>
      <c r="B6" s="176"/>
      <c r="C6" s="177"/>
      <c r="D6" s="177"/>
      <c r="E6" s="178"/>
      <c r="F6" s="179"/>
      <c r="G6" s="180"/>
      <c r="H6" s="181"/>
    </row>
    <row r="7" spans="1:9" ht="15.5">
      <c r="A7" s="155"/>
      <c r="B7" s="176"/>
      <c r="C7" s="177"/>
      <c r="D7" s="177"/>
      <c r="E7" s="178"/>
      <c r="F7" s="179"/>
      <c r="G7" s="180"/>
      <c r="H7" s="181"/>
    </row>
    <row r="8" spans="1:9" ht="16" thickBot="1">
      <c r="A8" s="379" t="s">
        <v>157</v>
      </c>
      <c r="B8" s="379"/>
      <c r="C8" s="379"/>
      <c r="D8" s="144"/>
      <c r="E8" s="144"/>
      <c r="F8" s="144">
        <f>SUM(F4:F5)</f>
        <v>0</v>
      </c>
      <c r="G8" s="144">
        <f>SUM(G4:G5)</f>
        <v>94</v>
      </c>
      <c r="H8" s="144">
        <f>SUM(H4:H5)</f>
        <v>94</v>
      </c>
    </row>
    <row r="9" spans="1:9" ht="16" thickBot="1">
      <c r="A9" s="380" t="s">
        <v>158</v>
      </c>
      <c r="B9" s="381"/>
      <c r="C9" s="381"/>
      <c r="D9" s="381"/>
      <c r="E9" s="381"/>
      <c r="F9" s="381"/>
      <c r="G9" s="145">
        <f>H8/G8</f>
        <v>1</v>
      </c>
      <c r="H9" s="146"/>
    </row>
  </sheetData>
  <mergeCells count="5">
    <mergeCell ref="A9:F9"/>
    <mergeCell ref="A1:A3"/>
    <mergeCell ref="B1:B3"/>
    <mergeCell ref="C1:H2"/>
    <mergeCell ref="A8:C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9F91-D1BB-444F-B67C-82E2137CFD45}">
  <sheetPr>
    <tabColor rgb="FF92D050"/>
  </sheetPr>
  <dimension ref="A1:H13"/>
  <sheetViews>
    <sheetView showGridLines="0" workbookViewId="0">
      <selection activeCell="B15" sqref="B15"/>
    </sheetView>
  </sheetViews>
  <sheetFormatPr baseColWidth="10" defaultColWidth="11.453125" defaultRowHeight="12.5"/>
  <cols>
    <col min="2" max="2" width="16.81640625" bestFit="1" customWidth="1"/>
  </cols>
  <sheetData>
    <row r="1" spans="1:8" ht="12.65" customHeight="1">
      <c r="A1" s="371"/>
      <c r="B1" s="371"/>
      <c r="C1" s="373"/>
      <c r="D1" s="374"/>
      <c r="E1" s="374"/>
      <c r="F1" s="374"/>
      <c r="G1" s="375"/>
    </row>
    <row r="2" spans="1:8" ht="12.65" customHeight="1">
      <c r="A2" s="372"/>
      <c r="B2" s="372"/>
      <c r="C2" s="376"/>
      <c r="D2" s="377"/>
      <c r="E2" s="377"/>
      <c r="F2" s="377"/>
      <c r="G2" s="378"/>
    </row>
    <row r="3" spans="1:8" ht="15.5">
      <c r="A3" s="382"/>
      <c r="B3" s="382"/>
      <c r="C3" s="143"/>
      <c r="D3" s="143"/>
      <c r="E3" s="143"/>
      <c r="F3" s="143"/>
      <c r="G3" s="142"/>
    </row>
    <row r="4" spans="1:8" s="151" customFormat="1" ht="15.5">
      <c r="A4" s="148"/>
      <c r="B4" s="152"/>
      <c r="C4" s="147"/>
      <c r="D4" s="149"/>
      <c r="E4" s="148"/>
      <c r="F4" s="150"/>
      <c r="G4" s="150"/>
    </row>
    <row r="5" spans="1:8" s="151" customFormat="1" ht="15.5">
      <c r="A5" s="148"/>
      <c r="B5" s="152"/>
      <c r="C5" s="147"/>
      <c r="D5" s="147"/>
      <c r="E5" s="154"/>
      <c r="F5" s="150"/>
      <c r="G5" s="150"/>
    </row>
    <row r="6" spans="1:8" s="151" customFormat="1" ht="15.5">
      <c r="A6" s="379"/>
      <c r="B6" s="379"/>
      <c r="C6" s="379"/>
      <c r="D6" s="144"/>
      <c r="E6" s="144"/>
      <c r="F6" s="144"/>
      <c r="G6" s="144"/>
    </row>
    <row r="7" spans="1:8" s="151" customFormat="1" ht="15.5">
      <c r="A7" s="380"/>
      <c r="B7" s="381"/>
      <c r="C7" s="381"/>
      <c r="D7" s="381"/>
      <c r="E7" s="381"/>
      <c r="F7" s="145"/>
      <c r="G7" s="146"/>
    </row>
    <row r="8" spans="1:8" s="151" customFormat="1">
      <c r="A8"/>
      <c r="B8"/>
      <c r="C8"/>
      <c r="D8"/>
      <c r="E8"/>
      <c r="F8"/>
      <c r="G8"/>
    </row>
    <row r="9" spans="1:8" ht="15.5">
      <c r="A9" s="379"/>
      <c r="B9" s="379"/>
      <c r="C9" s="379"/>
      <c r="D9" s="144"/>
      <c r="E9" s="144"/>
      <c r="F9" s="144"/>
      <c r="G9" s="144"/>
      <c r="H9" s="151"/>
    </row>
    <row r="10" spans="1:8" ht="15.5">
      <c r="A10" s="380"/>
      <c r="B10" s="381"/>
      <c r="C10" s="381"/>
      <c r="D10" s="381"/>
      <c r="E10" s="381"/>
      <c r="F10" s="145"/>
      <c r="G10" s="146"/>
    </row>
    <row r="13" spans="1:8">
      <c r="A13" s="110" t="s">
        <v>171</v>
      </c>
    </row>
  </sheetData>
  <mergeCells count="7">
    <mergeCell ref="A10:E10"/>
    <mergeCell ref="A1:A3"/>
    <mergeCell ref="B1:B3"/>
    <mergeCell ref="C1:G2"/>
    <mergeCell ref="A6:C6"/>
    <mergeCell ref="A7:E7"/>
    <mergeCell ref="A9:C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1182-327D-4E8C-A97B-24742CE8A064}">
  <sheetPr>
    <tabColor rgb="FF92D050"/>
  </sheetPr>
  <dimension ref="A1:I25"/>
  <sheetViews>
    <sheetView showGridLines="0" zoomScale="94" workbookViewId="0">
      <selection sqref="A1:XFD1048576"/>
    </sheetView>
  </sheetViews>
  <sheetFormatPr baseColWidth="10" defaultColWidth="11.453125" defaultRowHeight="12.5"/>
  <cols>
    <col min="2" max="2" width="16.81640625" bestFit="1" customWidth="1"/>
    <col min="9" max="9" width="17.81640625" bestFit="1" customWidth="1"/>
  </cols>
  <sheetData>
    <row r="1" spans="1:9" ht="12.65" customHeight="1">
      <c r="A1" s="371" t="s">
        <v>146</v>
      </c>
      <c r="B1" s="371" t="s">
        <v>147</v>
      </c>
      <c r="C1" s="373" t="s">
        <v>172</v>
      </c>
      <c r="D1" s="374"/>
      <c r="E1" s="374"/>
      <c r="F1" s="374"/>
      <c r="G1" s="374"/>
      <c r="H1" s="375"/>
    </row>
    <row r="2" spans="1:9" ht="12.65" customHeight="1">
      <c r="A2" s="372"/>
      <c r="B2" s="372"/>
      <c r="C2" s="376"/>
      <c r="D2" s="377"/>
      <c r="E2" s="377"/>
      <c r="F2" s="377"/>
      <c r="G2" s="377"/>
      <c r="H2" s="378"/>
    </row>
    <row r="3" spans="1:9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  <c r="I3" s="153"/>
    </row>
    <row r="4" spans="1:9" ht="15.5">
      <c r="A4" s="148">
        <v>1</v>
      </c>
      <c r="B4" s="156" t="s">
        <v>173</v>
      </c>
      <c r="C4" s="157">
        <v>45805</v>
      </c>
      <c r="D4" s="149">
        <v>45834</v>
      </c>
      <c r="E4" s="149">
        <v>45834</v>
      </c>
      <c r="F4" s="175">
        <v>0</v>
      </c>
      <c r="G4" s="171">
        <f t="shared" ref="G4:G5" si="0">D4-C4+1</f>
        <v>30</v>
      </c>
      <c r="H4" s="150">
        <f t="shared" ref="H4:H5" si="1">G4-F4</f>
        <v>30</v>
      </c>
    </row>
    <row r="5" spans="1:9" ht="15.5">
      <c r="A5" s="148">
        <v>2</v>
      </c>
      <c r="B5" s="156" t="s">
        <v>174</v>
      </c>
      <c r="C5" s="157">
        <v>45828</v>
      </c>
      <c r="D5" s="157">
        <v>45843</v>
      </c>
      <c r="E5" s="149">
        <v>45840</v>
      </c>
      <c r="F5" s="175">
        <v>0</v>
      </c>
      <c r="G5" s="171">
        <f t="shared" si="0"/>
        <v>16</v>
      </c>
      <c r="H5" s="150">
        <f t="shared" si="1"/>
        <v>16</v>
      </c>
    </row>
    <row r="6" spans="1:9" ht="15.5">
      <c r="A6" s="148">
        <v>3</v>
      </c>
      <c r="B6" s="156" t="s">
        <v>175</v>
      </c>
      <c r="C6" s="157">
        <v>45833</v>
      </c>
      <c r="D6" s="157">
        <v>45857</v>
      </c>
      <c r="E6" s="149"/>
      <c r="F6" s="175">
        <v>0</v>
      </c>
      <c r="G6" s="171">
        <f t="shared" ref="G6" si="2">D6-C6+1</f>
        <v>25</v>
      </c>
      <c r="H6" s="150">
        <f t="shared" ref="H6" si="3">G6-F6</f>
        <v>25</v>
      </c>
    </row>
    <row r="7" spans="1:9" ht="15.5">
      <c r="A7" s="155"/>
      <c r="B7" s="176"/>
      <c r="C7" s="182"/>
      <c r="D7" s="182"/>
      <c r="E7" s="178"/>
      <c r="F7" s="179"/>
      <c r="G7" s="180"/>
      <c r="H7" s="181"/>
    </row>
    <row r="8" spans="1:9" ht="16" thickBot="1">
      <c r="A8" s="379" t="s">
        <v>157</v>
      </c>
      <c r="B8" s="379"/>
      <c r="C8" s="379"/>
      <c r="D8" s="144"/>
      <c r="E8" s="144"/>
      <c r="F8" s="144">
        <f>SUM(F4:F5)</f>
        <v>0</v>
      </c>
      <c r="G8" s="144">
        <f>SUM(G4:G6)</f>
        <v>71</v>
      </c>
      <c r="H8" s="144">
        <f>SUM(H4:H6)</f>
        <v>71</v>
      </c>
    </row>
    <row r="9" spans="1:9" ht="16" thickBot="1">
      <c r="A9" s="380" t="s">
        <v>158</v>
      </c>
      <c r="B9" s="381"/>
      <c r="C9" s="381"/>
      <c r="D9" s="381"/>
      <c r="E9" s="381"/>
      <c r="F9" s="381"/>
      <c r="G9" s="145">
        <f>H8/G8</f>
        <v>1</v>
      </c>
      <c r="H9" s="14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</sheetData>
  <mergeCells count="5">
    <mergeCell ref="A1:A3"/>
    <mergeCell ref="B1:B3"/>
    <mergeCell ref="A8:C8"/>
    <mergeCell ref="C1:H2"/>
    <mergeCell ref="A9:F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B1A0-CE26-4B7B-937B-AABC1285D2BC}">
  <sheetPr>
    <tabColor rgb="FF92D050"/>
  </sheetPr>
  <dimension ref="A1:I26"/>
  <sheetViews>
    <sheetView showGridLines="0" workbookViewId="0">
      <selection sqref="A1:XFD1048576"/>
    </sheetView>
  </sheetViews>
  <sheetFormatPr baseColWidth="10" defaultColWidth="11.453125" defaultRowHeight="12.5"/>
  <cols>
    <col min="2" max="2" width="16.81640625" bestFit="1" customWidth="1"/>
    <col min="9" max="9" width="17.81640625" bestFit="1" customWidth="1"/>
  </cols>
  <sheetData>
    <row r="1" spans="1:9" ht="12.65" customHeight="1">
      <c r="A1" s="371" t="s">
        <v>146</v>
      </c>
      <c r="B1" s="371" t="s">
        <v>147</v>
      </c>
      <c r="C1" s="373" t="s">
        <v>176</v>
      </c>
      <c r="D1" s="374"/>
      <c r="E1" s="374"/>
      <c r="F1" s="374"/>
      <c r="G1" s="374"/>
      <c r="H1" s="375"/>
    </row>
    <row r="2" spans="1:9" ht="12.65" customHeight="1">
      <c r="A2" s="372"/>
      <c r="B2" s="372"/>
      <c r="C2" s="376"/>
      <c r="D2" s="377"/>
      <c r="E2" s="377"/>
      <c r="F2" s="377"/>
      <c r="G2" s="377"/>
      <c r="H2" s="378"/>
    </row>
    <row r="3" spans="1:9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  <c r="I3" s="153"/>
    </row>
    <row r="4" spans="1:9" ht="15.5">
      <c r="A4" s="148">
        <v>1</v>
      </c>
      <c r="B4" s="156" t="s">
        <v>177</v>
      </c>
      <c r="C4" s="157">
        <v>45838</v>
      </c>
      <c r="D4" s="149">
        <v>45888</v>
      </c>
      <c r="E4" s="149"/>
      <c r="F4" s="175">
        <v>0</v>
      </c>
      <c r="G4" s="171">
        <f t="shared" ref="G4" si="0">D4-C4+1</f>
        <v>51</v>
      </c>
      <c r="H4" s="150">
        <f t="shared" ref="H4" si="1">G4-F4</f>
        <v>51</v>
      </c>
    </row>
    <row r="5" spans="1:9" ht="15.5">
      <c r="A5" s="155"/>
      <c r="B5" s="176"/>
      <c r="C5" s="182"/>
      <c r="D5" s="182"/>
      <c r="E5" s="178"/>
      <c r="F5" s="179"/>
      <c r="G5" s="180"/>
      <c r="H5" s="181"/>
    </row>
    <row r="6" spans="1:9" ht="16" thickBot="1">
      <c r="A6" s="379" t="s">
        <v>157</v>
      </c>
      <c r="B6" s="379"/>
      <c r="C6" s="379"/>
      <c r="D6" s="144"/>
      <c r="E6" s="144"/>
      <c r="F6" s="144">
        <f>SUM(F4:F4)</f>
        <v>0</v>
      </c>
      <c r="G6" s="144">
        <f>SUM(G4:G4)</f>
        <v>51</v>
      </c>
      <c r="H6" s="144">
        <f>SUM(H4:H4)</f>
        <v>51</v>
      </c>
    </row>
    <row r="7" spans="1:9" ht="16" thickBot="1">
      <c r="A7" s="380" t="s">
        <v>158</v>
      </c>
      <c r="B7" s="381"/>
      <c r="C7" s="381"/>
      <c r="D7" s="381"/>
      <c r="E7" s="381"/>
      <c r="F7" s="381"/>
      <c r="G7" s="145">
        <f>H6/G6</f>
        <v>1</v>
      </c>
      <c r="H7" s="14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</sheetData>
  <mergeCells count="5">
    <mergeCell ref="A1:A3"/>
    <mergeCell ref="B1:B3"/>
    <mergeCell ref="C1:H2"/>
    <mergeCell ref="A6:C6"/>
    <mergeCell ref="A7:F7"/>
  </mergeCells>
  <phoneticPr fontId="3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7853-E22D-4223-BFC6-765A2ABA4182}">
  <sheetPr>
    <tabColor rgb="FF92D050"/>
  </sheetPr>
  <dimension ref="A1:I12"/>
  <sheetViews>
    <sheetView showGridLines="0" workbookViewId="0">
      <selection sqref="A1:H12"/>
    </sheetView>
  </sheetViews>
  <sheetFormatPr baseColWidth="10" defaultColWidth="11.453125" defaultRowHeight="12.5"/>
  <cols>
    <col min="2" max="2" width="16.81640625" bestFit="1" customWidth="1"/>
    <col min="9" max="9" width="17.81640625" bestFit="1" customWidth="1"/>
  </cols>
  <sheetData>
    <row r="1" spans="1:9" ht="12.65" customHeight="1">
      <c r="A1" s="371" t="s">
        <v>146</v>
      </c>
      <c r="B1" s="371" t="s">
        <v>147</v>
      </c>
      <c r="C1" s="373" t="s">
        <v>178</v>
      </c>
      <c r="D1" s="374"/>
      <c r="E1" s="374"/>
      <c r="F1" s="374"/>
      <c r="G1" s="374"/>
      <c r="H1" s="375"/>
    </row>
    <row r="2" spans="1:9" ht="12.65" customHeight="1">
      <c r="A2" s="372"/>
      <c r="B2" s="372"/>
      <c r="C2" s="376"/>
      <c r="D2" s="377"/>
      <c r="E2" s="377"/>
      <c r="F2" s="377"/>
      <c r="G2" s="377"/>
      <c r="H2" s="378"/>
    </row>
    <row r="3" spans="1:9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  <c r="I3" s="153"/>
    </row>
    <row r="4" spans="1:9" ht="15.5">
      <c r="A4" s="148">
        <v>1</v>
      </c>
      <c r="B4" s="156" t="s">
        <v>179</v>
      </c>
      <c r="C4" s="157">
        <v>45876</v>
      </c>
      <c r="D4" s="149">
        <v>45932</v>
      </c>
      <c r="E4" s="149"/>
      <c r="F4" s="175">
        <v>0.2</v>
      </c>
      <c r="G4" s="171">
        <f t="shared" ref="G4:G10" si="0">D4-C4+1</f>
        <v>57</v>
      </c>
      <c r="H4" s="150">
        <f t="shared" ref="H4:H10" si="1">G4-F4</f>
        <v>56.8</v>
      </c>
    </row>
    <row r="5" spans="1:9" ht="15.5">
      <c r="A5" s="148">
        <v>2</v>
      </c>
      <c r="B5" s="156" t="s">
        <v>180</v>
      </c>
      <c r="C5" s="157">
        <v>45866</v>
      </c>
      <c r="D5" s="149">
        <v>45927</v>
      </c>
      <c r="E5" s="149"/>
      <c r="F5" s="175">
        <v>0.44</v>
      </c>
      <c r="G5" s="171">
        <f t="shared" si="0"/>
        <v>62</v>
      </c>
      <c r="H5" s="150">
        <f t="shared" si="1"/>
        <v>61.56</v>
      </c>
    </row>
    <row r="6" spans="1:9" ht="15.5">
      <c r="A6" s="148">
        <v>3</v>
      </c>
      <c r="B6" s="156" t="s">
        <v>181</v>
      </c>
      <c r="C6" s="157">
        <v>45883</v>
      </c>
      <c r="D6" s="149">
        <v>45932</v>
      </c>
      <c r="E6" s="149"/>
      <c r="F6" s="175">
        <v>0</v>
      </c>
      <c r="G6" s="171">
        <f t="shared" si="0"/>
        <v>50</v>
      </c>
      <c r="H6" s="150">
        <f t="shared" si="1"/>
        <v>50</v>
      </c>
    </row>
    <row r="7" spans="1:9" ht="15.5">
      <c r="A7" s="148">
        <v>4</v>
      </c>
      <c r="B7" s="156" t="s">
        <v>182</v>
      </c>
      <c r="C7" s="157">
        <v>45883</v>
      </c>
      <c r="D7" s="149">
        <v>45932</v>
      </c>
      <c r="E7" s="149"/>
      <c r="F7" s="175">
        <v>0</v>
      </c>
      <c r="G7" s="171">
        <f t="shared" si="0"/>
        <v>50</v>
      </c>
      <c r="H7" s="150">
        <f t="shared" si="1"/>
        <v>50</v>
      </c>
    </row>
    <row r="8" spans="1:9" ht="15.5">
      <c r="A8" s="148">
        <v>5</v>
      </c>
      <c r="B8" s="156" t="s">
        <v>183</v>
      </c>
      <c r="C8" s="157">
        <v>45870</v>
      </c>
      <c r="D8" s="149">
        <v>45938</v>
      </c>
      <c r="E8" s="149"/>
      <c r="F8" s="175">
        <v>0</v>
      </c>
      <c r="G8" s="171">
        <f t="shared" si="0"/>
        <v>69</v>
      </c>
      <c r="H8" s="150">
        <f t="shared" si="1"/>
        <v>69</v>
      </c>
    </row>
    <row r="9" spans="1:9" ht="15.5">
      <c r="A9" s="148">
        <v>6</v>
      </c>
      <c r="B9" s="156" t="s">
        <v>184</v>
      </c>
      <c r="C9" s="157">
        <v>45869</v>
      </c>
      <c r="D9" s="149">
        <v>45932</v>
      </c>
      <c r="E9" s="149"/>
      <c r="F9" s="175">
        <v>0</v>
      </c>
      <c r="G9" s="171">
        <f t="shared" si="0"/>
        <v>64</v>
      </c>
      <c r="H9" s="150">
        <f t="shared" si="1"/>
        <v>64</v>
      </c>
    </row>
    <row r="10" spans="1:9" ht="15.5">
      <c r="A10" s="148">
        <v>7</v>
      </c>
      <c r="B10" s="156" t="s">
        <v>185</v>
      </c>
      <c r="C10" s="157">
        <v>45889</v>
      </c>
      <c r="D10" s="149">
        <v>45931</v>
      </c>
      <c r="E10" s="149"/>
      <c r="F10" s="175">
        <v>0</v>
      </c>
      <c r="G10" s="171">
        <f t="shared" si="0"/>
        <v>43</v>
      </c>
      <c r="H10" s="150">
        <f t="shared" si="1"/>
        <v>43</v>
      </c>
    </row>
    <row r="11" spans="1:9" ht="16" thickBot="1">
      <c r="A11" s="379" t="s">
        <v>157</v>
      </c>
      <c r="B11" s="379"/>
      <c r="C11" s="379"/>
      <c r="D11" s="144"/>
      <c r="E11" s="144"/>
      <c r="F11" s="144">
        <f>SUM(F4:F10)</f>
        <v>0.64</v>
      </c>
      <c r="G11" s="144">
        <f>SUM(G4:G10)</f>
        <v>395</v>
      </c>
      <c r="H11" s="144">
        <f>SUM(H4:H10)</f>
        <v>394.36</v>
      </c>
    </row>
    <row r="12" spans="1:9" ht="16" thickBot="1">
      <c r="A12" s="380" t="s">
        <v>158</v>
      </c>
      <c r="B12" s="381"/>
      <c r="C12" s="381"/>
      <c r="D12" s="381"/>
      <c r="E12" s="381"/>
      <c r="F12" s="381"/>
      <c r="G12" s="145">
        <f>H11/G11</f>
        <v>0.99837974683544306</v>
      </c>
      <c r="H12" s="146"/>
    </row>
  </sheetData>
  <mergeCells count="5">
    <mergeCell ref="A1:A3"/>
    <mergeCell ref="B1:B3"/>
    <mergeCell ref="C1:H2"/>
    <mergeCell ref="A11:C11"/>
    <mergeCell ref="A12:F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5F7E-1EA9-4050-81F8-9704ACF0A490}">
  <sheetPr>
    <tabColor rgb="FF92D050"/>
  </sheetPr>
  <dimension ref="A1:H20"/>
  <sheetViews>
    <sheetView showGridLines="0" workbookViewId="0">
      <selection activeCell="H4" sqref="H4"/>
    </sheetView>
  </sheetViews>
  <sheetFormatPr baseColWidth="10" defaultColWidth="11.453125" defaultRowHeight="12.5"/>
  <cols>
    <col min="2" max="2" width="23.54296875" bestFit="1" customWidth="1"/>
  </cols>
  <sheetData>
    <row r="1" spans="1:8" ht="12.65" customHeight="1">
      <c r="A1" s="371" t="s">
        <v>146</v>
      </c>
      <c r="B1" s="371" t="s">
        <v>147</v>
      </c>
      <c r="C1" s="373" t="s">
        <v>186</v>
      </c>
      <c r="D1" s="374"/>
      <c r="E1" s="374"/>
      <c r="F1" s="374"/>
      <c r="G1" s="374"/>
      <c r="H1" s="375"/>
    </row>
    <row r="2" spans="1:8" ht="12.65" customHeight="1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s="151" customFormat="1" ht="15.5">
      <c r="A4" s="148">
        <v>1</v>
      </c>
      <c r="B4" s="156" t="s">
        <v>179</v>
      </c>
      <c r="C4" s="157">
        <v>45876</v>
      </c>
      <c r="D4" s="149">
        <v>45933</v>
      </c>
      <c r="E4" s="149"/>
      <c r="F4" s="175">
        <v>0</v>
      </c>
      <c r="G4" s="171">
        <f t="shared" ref="G4:G8" si="0">D4-C4+1</f>
        <v>58</v>
      </c>
      <c r="H4" s="150">
        <f t="shared" ref="H4:H8" si="1">G4-F4</f>
        <v>58</v>
      </c>
    </row>
    <row r="5" spans="1:8" s="151" customFormat="1" ht="15.5">
      <c r="A5" s="148">
        <v>2</v>
      </c>
      <c r="B5" s="156" t="s">
        <v>181</v>
      </c>
      <c r="C5" s="157">
        <v>45883</v>
      </c>
      <c r="D5" s="149">
        <v>45932</v>
      </c>
      <c r="E5" s="149"/>
      <c r="F5" s="175">
        <v>0</v>
      </c>
      <c r="G5" s="171">
        <f t="shared" si="0"/>
        <v>50</v>
      </c>
      <c r="H5" s="150">
        <f t="shared" si="1"/>
        <v>50</v>
      </c>
    </row>
    <row r="6" spans="1:8" s="151" customFormat="1" ht="15.5">
      <c r="A6" s="148">
        <v>3</v>
      </c>
      <c r="B6" s="156" t="s">
        <v>187</v>
      </c>
      <c r="C6" s="157">
        <v>45897</v>
      </c>
      <c r="D6" s="149">
        <v>45940</v>
      </c>
      <c r="E6" s="149"/>
      <c r="F6" s="175">
        <v>0</v>
      </c>
      <c r="G6" s="171">
        <f t="shared" si="0"/>
        <v>44</v>
      </c>
      <c r="H6" s="150">
        <f t="shared" si="1"/>
        <v>44</v>
      </c>
    </row>
    <row r="7" spans="1:8" s="151" customFormat="1" ht="15.5">
      <c r="A7" s="148">
        <v>4</v>
      </c>
      <c r="B7" s="156" t="s">
        <v>188</v>
      </c>
      <c r="C7" s="157">
        <v>45909</v>
      </c>
      <c r="D7" s="149">
        <v>45953</v>
      </c>
      <c r="E7" s="149"/>
      <c r="F7" s="175">
        <v>0</v>
      </c>
      <c r="G7" s="171">
        <f t="shared" si="0"/>
        <v>45</v>
      </c>
      <c r="H7" s="150">
        <f t="shared" si="1"/>
        <v>45</v>
      </c>
    </row>
    <row r="8" spans="1:8" s="151" customFormat="1" ht="15.5">
      <c r="A8" s="148">
        <v>5</v>
      </c>
      <c r="B8" s="156" t="s">
        <v>189</v>
      </c>
      <c r="C8" s="182">
        <v>45911</v>
      </c>
      <c r="D8" s="178">
        <v>45941</v>
      </c>
      <c r="E8" s="178"/>
      <c r="F8" s="179">
        <v>0.38</v>
      </c>
      <c r="G8" s="171">
        <f t="shared" si="0"/>
        <v>31</v>
      </c>
      <c r="H8" s="150">
        <f t="shared" si="1"/>
        <v>30.62</v>
      </c>
    </row>
    <row r="9" spans="1:8" s="151" customFormat="1" ht="16" thickBot="1">
      <c r="A9" s="379" t="s">
        <v>157</v>
      </c>
      <c r="B9" s="379"/>
      <c r="C9" s="379"/>
      <c r="D9" s="144"/>
      <c r="E9" s="144"/>
      <c r="F9" s="144">
        <f>SUM(F4:F8)</f>
        <v>0.38</v>
      </c>
      <c r="G9" s="144">
        <f>SUM(G4:G8)</f>
        <v>228</v>
      </c>
      <c r="H9" s="144">
        <f>SUM(H4:H8)</f>
        <v>227.62</v>
      </c>
    </row>
    <row r="10" spans="1:8" s="151" customFormat="1" ht="16" thickBot="1">
      <c r="A10" s="380" t="s">
        <v>158</v>
      </c>
      <c r="B10" s="381"/>
      <c r="C10" s="381"/>
      <c r="D10" s="381"/>
      <c r="E10" s="381"/>
      <c r="F10" s="381"/>
      <c r="G10" s="145">
        <f>H9/G9</f>
        <v>0.99833333333333341</v>
      </c>
      <c r="H10" s="146"/>
    </row>
    <row r="17" customFormat="1"/>
    <row r="18" customFormat="1"/>
    <row r="19" customFormat="1"/>
    <row r="20" customFormat="1"/>
  </sheetData>
  <mergeCells count="5">
    <mergeCell ref="A1:A3"/>
    <mergeCell ref="B1:B3"/>
    <mergeCell ref="C1:H2"/>
    <mergeCell ref="A9:C9"/>
    <mergeCell ref="A10:F10"/>
  </mergeCells>
  <phoneticPr fontId="3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11FD-A53E-49D9-BA2E-E4B44439DA5B}">
  <sheetPr>
    <tabColor rgb="FF92D050"/>
  </sheetPr>
  <dimension ref="A1:H7"/>
  <sheetViews>
    <sheetView showGridLines="0" workbookViewId="0">
      <selection activeCell="A4" sqref="A4:XFD8"/>
    </sheetView>
  </sheetViews>
  <sheetFormatPr baseColWidth="10" defaultColWidth="11.453125" defaultRowHeight="12.5"/>
  <cols>
    <col min="2" max="2" width="23.54296875" bestFit="1" customWidth="1"/>
  </cols>
  <sheetData>
    <row r="1" spans="1:8" ht="12.65" customHeight="1">
      <c r="A1" s="371" t="s">
        <v>146</v>
      </c>
      <c r="B1" s="371" t="s">
        <v>147</v>
      </c>
      <c r="C1" s="373" t="s">
        <v>190</v>
      </c>
      <c r="D1" s="374"/>
      <c r="E1" s="374"/>
      <c r="F1" s="374"/>
      <c r="G1" s="374"/>
      <c r="H1" s="375"/>
    </row>
    <row r="2" spans="1:8" ht="12.65" customHeight="1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s="151" customFormat="1" ht="16" thickBot="1">
      <c r="A4" s="379"/>
      <c r="B4" s="379"/>
      <c r="C4" s="379"/>
      <c r="D4" s="144"/>
      <c r="E4" s="144"/>
      <c r="F4" s="144"/>
      <c r="G4" s="144"/>
      <c r="H4" s="144"/>
    </row>
    <row r="5" spans="1:8" s="151" customFormat="1" ht="16" thickBot="1">
      <c r="A5" s="380" t="s">
        <v>158</v>
      </c>
      <c r="B5" s="381"/>
      <c r="C5" s="381"/>
      <c r="D5" s="381"/>
      <c r="E5" s="381"/>
      <c r="F5" s="381"/>
      <c r="G5" s="145" t="e">
        <f>H4/G4</f>
        <v>#DIV/0!</v>
      </c>
      <c r="H5" s="146"/>
    </row>
    <row r="7" spans="1:8">
      <c r="A7" t="s">
        <v>191</v>
      </c>
    </row>
  </sheetData>
  <mergeCells count="5">
    <mergeCell ref="A1:A3"/>
    <mergeCell ref="B1:B3"/>
    <mergeCell ref="C1:H2"/>
    <mergeCell ref="A4:C4"/>
    <mergeCell ref="A5:F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222E-77BD-454C-A235-C39FC51D744C}">
  <sheetPr>
    <tabColor rgb="FF92D050"/>
  </sheetPr>
  <dimension ref="A1:H6"/>
  <sheetViews>
    <sheetView showGridLines="0" workbookViewId="0">
      <selection sqref="A1:H6"/>
    </sheetView>
  </sheetViews>
  <sheetFormatPr baseColWidth="10" defaultColWidth="11.453125" defaultRowHeight="12.5"/>
  <cols>
    <col min="2" max="2" width="23.54296875" bestFit="1" customWidth="1"/>
  </cols>
  <sheetData>
    <row r="1" spans="1:8" ht="12.65" customHeight="1">
      <c r="A1" s="371" t="s">
        <v>146</v>
      </c>
      <c r="B1" s="371" t="s">
        <v>147</v>
      </c>
      <c r="C1" s="373" t="s">
        <v>192</v>
      </c>
      <c r="D1" s="374"/>
      <c r="E1" s="374"/>
      <c r="F1" s="374"/>
      <c r="G1" s="374"/>
      <c r="H1" s="375"/>
    </row>
    <row r="2" spans="1:8" ht="12.65" customHeight="1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s="151" customFormat="1" ht="15.5">
      <c r="A4" s="148">
        <v>1</v>
      </c>
      <c r="B4" s="156" t="s">
        <v>193</v>
      </c>
      <c r="C4" s="157">
        <v>45976</v>
      </c>
      <c r="D4" s="149">
        <v>46021</v>
      </c>
      <c r="E4" s="149"/>
      <c r="F4" s="175">
        <v>0</v>
      </c>
      <c r="G4" s="171">
        <f t="shared" ref="G4" si="0">D4-C4+1</f>
        <v>46</v>
      </c>
      <c r="H4" s="150">
        <f t="shared" ref="H4" si="1">G4-F4</f>
        <v>46</v>
      </c>
    </row>
    <row r="5" spans="1:8" s="151" customFormat="1" ht="16" thickBot="1">
      <c r="A5" s="379" t="s">
        <v>157</v>
      </c>
      <c r="B5" s="379"/>
      <c r="C5" s="379"/>
      <c r="D5" s="144"/>
      <c r="E5" s="144"/>
      <c r="F5" s="144">
        <f>SUM(F4:F4)</f>
        <v>0</v>
      </c>
      <c r="G5" s="144">
        <f>SUM(G4:G4)</f>
        <v>46</v>
      </c>
      <c r="H5" s="144">
        <f>SUM(H4:H4)</f>
        <v>46</v>
      </c>
    </row>
    <row r="6" spans="1:8" s="151" customFormat="1" ht="16" thickBot="1">
      <c r="A6" s="380" t="s">
        <v>158</v>
      </c>
      <c r="B6" s="381"/>
      <c r="C6" s="381"/>
      <c r="D6" s="381"/>
      <c r="E6" s="381"/>
      <c r="F6" s="381"/>
      <c r="G6" s="145">
        <f>H5/G5</f>
        <v>1</v>
      </c>
      <c r="H6" s="146"/>
    </row>
  </sheetData>
  <mergeCells count="5">
    <mergeCell ref="A5:C5"/>
    <mergeCell ref="A1:A3"/>
    <mergeCell ref="B1:B3"/>
    <mergeCell ref="C1:H2"/>
    <mergeCell ref="A6:F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87A4-7304-424B-AB8C-95A521E12BC1}">
  <sheetPr>
    <tabColor rgb="FF92D050"/>
  </sheetPr>
  <dimension ref="A1:H8"/>
  <sheetViews>
    <sheetView showGridLines="0" tabSelected="1" workbookViewId="0">
      <selection activeCell="J6" sqref="J6"/>
    </sheetView>
  </sheetViews>
  <sheetFormatPr baseColWidth="10" defaultColWidth="11.453125" defaultRowHeight="12.5"/>
  <cols>
    <col min="2" max="2" width="21.6328125" bestFit="1" customWidth="1"/>
  </cols>
  <sheetData>
    <row r="1" spans="1:8">
      <c r="A1" s="371" t="s">
        <v>146</v>
      </c>
      <c r="B1" s="371" t="s">
        <v>147</v>
      </c>
      <c r="C1" s="373" t="s">
        <v>194</v>
      </c>
      <c r="D1" s="374"/>
      <c r="E1" s="374"/>
      <c r="F1" s="374"/>
      <c r="G1" s="374"/>
      <c r="H1" s="375"/>
    </row>
    <row r="2" spans="1:8">
      <c r="A2" s="372"/>
      <c r="B2" s="372"/>
      <c r="C2" s="376"/>
      <c r="D2" s="377"/>
      <c r="E2" s="377"/>
      <c r="F2" s="377"/>
      <c r="G2" s="377"/>
      <c r="H2" s="378"/>
    </row>
    <row r="3" spans="1:8" ht="46.5">
      <c r="A3" s="372"/>
      <c r="B3" s="372"/>
      <c r="C3" s="143" t="s">
        <v>160</v>
      </c>
      <c r="D3" s="143" t="s">
        <v>150</v>
      </c>
      <c r="E3" s="143" t="s">
        <v>151</v>
      </c>
      <c r="F3" s="143" t="s">
        <v>152</v>
      </c>
      <c r="G3" s="143" t="s">
        <v>153</v>
      </c>
      <c r="H3" s="142" t="s">
        <v>145</v>
      </c>
    </row>
    <row r="4" spans="1:8" ht="15.5">
      <c r="A4" s="148">
        <v>1</v>
      </c>
      <c r="B4" s="156" t="s">
        <v>193</v>
      </c>
      <c r="C4" s="157">
        <v>45976</v>
      </c>
      <c r="D4" s="149">
        <v>46027</v>
      </c>
      <c r="E4" s="149"/>
      <c r="F4" s="175">
        <v>0</v>
      </c>
      <c r="G4" s="171">
        <f t="shared" ref="G4" si="0">D4-C4+1</f>
        <v>52</v>
      </c>
      <c r="H4" s="150">
        <f t="shared" ref="H4" si="1">G4-F4</f>
        <v>52</v>
      </c>
    </row>
    <row r="5" spans="1:8" ht="15.5">
      <c r="A5" s="148">
        <v>2</v>
      </c>
      <c r="B5" s="156" t="s">
        <v>195</v>
      </c>
      <c r="C5" s="157">
        <v>45978</v>
      </c>
      <c r="D5" s="149">
        <v>46090</v>
      </c>
      <c r="E5" s="149"/>
      <c r="F5" s="175">
        <v>0</v>
      </c>
      <c r="G5" s="171">
        <f t="shared" ref="G5" si="2">D5-C5+1</f>
        <v>113</v>
      </c>
      <c r="H5" s="150">
        <f t="shared" ref="H5" si="3">G5-F5</f>
        <v>113</v>
      </c>
    </row>
    <row r="6" spans="1:8" ht="15.5">
      <c r="A6" s="148">
        <v>3</v>
      </c>
      <c r="B6" s="156" t="s">
        <v>196</v>
      </c>
      <c r="C6" s="157">
        <v>46001</v>
      </c>
      <c r="D6" s="149">
        <v>46032</v>
      </c>
      <c r="E6" s="149"/>
      <c r="F6" s="175">
        <v>4</v>
      </c>
      <c r="G6" s="171">
        <f t="shared" ref="G6" si="4">D6-C6+1</f>
        <v>32</v>
      </c>
      <c r="H6" s="150">
        <f t="shared" ref="H6" si="5">G6-F6</f>
        <v>28</v>
      </c>
    </row>
    <row r="7" spans="1:8" ht="16" thickBot="1">
      <c r="A7" s="379" t="s">
        <v>157</v>
      </c>
      <c r="B7" s="379"/>
      <c r="C7" s="379"/>
      <c r="D7" s="144"/>
      <c r="E7" s="144"/>
      <c r="F7" s="144">
        <f>SUM(F4:F6)</f>
        <v>4</v>
      </c>
      <c r="G7" s="144">
        <f>SUM(G4:G6)</f>
        <v>197</v>
      </c>
      <c r="H7" s="144">
        <f>SUM(H4:H6)</f>
        <v>193</v>
      </c>
    </row>
    <row r="8" spans="1:8" ht="16" thickBot="1">
      <c r="A8" s="380" t="s">
        <v>158</v>
      </c>
      <c r="B8" s="381"/>
      <c r="C8" s="381"/>
      <c r="D8" s="381"/>
      <c r="E8" s="381"/>
      <c r="F8" s="381"/>
      <c r="G8" s="145">
        <f>H7/G7</f>
        <v>0.97969543147208127</v>
      </c>
      <c r="H8" s="146"/>
    </row>
  </sheetData>
  <mergeCells count="5">
    <mergeCell ref="A1:A3"/>
    <mergeCell ref="B1:B3"/>
    <mergeCell ref="C1:H2"/>
    <mergeCell ref="A7:C7"/>
    <mergeCell ref="A8:F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18bc8-7c02-4167-9d55-3bfee31cf150" xsi:nil="true"/>
    <lcf76f155ced4ddcb4097134ff3c332f xmlns="b1ba3065-7f0a-4415-ac29-a8c73a1cf53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46B349-5BE0-4E9A-909F-4CFA2B3B724F}"/>
</file>

<file path=customXml/itemProps2.xml><?xml version="1.0" encoding="utf-8"?>
<ds:datastoreItem xmlns:ds="http://schemas.openxmlformats.org/officeDocument/2006/customXml" ds:itemID="{2B4546BD-C64A-451A-9113-BD7575B47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AA209-1459-4248-BF5B-575784B589B7}">
  <ds:schemaRefs>
    <ds:schemaRef ds:uri="http://schemas.microsoft.com/office/2006/metadata/properties"/>
    <ds:schemaRef ds:uri="http://schemas.microsoft.com/office/infopath/2007/PartnerControls"/>
    <ds:schemaRef ds:uri="2cda19dd-e05a-4216-9928-dde66945e473"/>
    <ds:schemaRef ds:uri="dd74fca9-f6ca-4613-9ed6-f04f800432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NORMALIZACION </vt:lpstr>
      <vt:lpstr>BALANCE SCORE CARD -BSC</vt:lpstr>
      <vt:lpstr>PLANIFICACIÓN OBJETIVO</vt:lpstr>
      <vt:lpstr>Evidencia - Enero</vt:lpstr>
      <vt:lpstr>Evidencia - Febrero</vt:lpstr>
      <vt:lpstr>Evidencia - Marzo</vt:lpstr>
      <vt:lpstr>Evidencia - Abril</vt:lpstr>
      <vt:lpstr>Evidencia - Mayo</vt:lpstr>
      <vt:lpstr>Evidencia - Junio</vt:lpstr>
      <vt:lpstr>Evidencia - Julio</vt:lpstr>
      <vt:lpstr>Evidencia - Agosto</vt:lpstr>
      <vt:lpstr>Evidencia - Setiembre</vt:lpstr>
      <vt:lpstr>Evidencia - Octubre</vt:lpstr>
      <vt:lpstr>Evidencia - Noviembre</vt:lpstr>
      <vt:lpstr>Evidencia - Diciembre</vt:lpstr>
      <vt:lpstr>'BALANCE SCORE CARD -BSC'!Área_de_impresión</vt:lpstr>
      <vt:lpstr>'PLANIFICACIÓN OBJETIVO'!Área_de_impresión</vt:lpstr>
      <vt:lpstr>'PLANIFICACIÓN OBJETIVO'!Títulos_a_imprimir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SPC02-F03 - Normalizacion de Indicadores</dc:title>
  <dc:subject>SPC02-P03 - Definicion, Normalizacion y Reporte de Indicadores de Gestion</dc:subject>
  <dc:creator>Henry Cabanillas</dc:creator>
  <cp:keywords>Formato</cp:keywords>
  <dc:description/>
  <cp:lastModifiedBy>Mercedes Prado Barrantes</cp:lastModifiedBy>
  <cp:revision/>
  <dcterms:created xsi:type="dcterms:W3CDTF">2011-04-01T16:51:29Z</dcterms:created>
  <dcterms:modified xsi:type="dcterms:W3CDTF">2026-01-05T18:58:44Z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3f0ff520-bde6-42d2-b65f-8a94097f5cb3</vt:lpwstr>
  </property>
  <property fmtid="{D5CDD505-2E9C-101B-9397-08002B2CF9AE}" pid="3" name="ContentTypeId">
    <vt:lpwstr>0x0101005059208197157644B01C2844AC97171D</vt:lpwstr>
  </property>
  <property fmtid="{D5CDD505-2E9C-101B-9397-08002B2CF9AE}" pid="4" name="Order">
    <vt:r8>316000</vt:r8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MediaServiceImageTags">
    <vt:lpwstr/>
  </property>
</Properties>
</file>