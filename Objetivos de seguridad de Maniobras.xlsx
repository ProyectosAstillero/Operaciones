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asaomega-my.sharepoint.com/personal/mprado_tasa_com_pe/Documents/Documents/SEGUIMIENTO/2,025/objetivos de seguridad/"/>
    </mc:Choice>
  </mc:AlternateContent>
  <xr:revisionPtr revIDLastSave="388" documentId="13_ncr:1_{F7638671-BDB6-49DB-9038-5FAA47CA9BEF}" xr6:coauthVersionLast="47" xr6:coauthVersionMax="47" xr10:uidLastSave="{19DFA188-83A7-4724-8C10-E76DD2A7ACBC}"/>
  <bookViews>
    <workbookView xWindow="-110" yWindow="-110" windowWidth="19420" windowHeight="10420" activeTab="1" xr2:uid="{00000000-000D-0000-FFFF-FFFF00000000}"/>
  </bookViews>
  <sheets>
    <sheet name="OBJETIVOS" sheetId="25" r:id="rId1"/>
    <sheet name="BASE DE DATOS" sheetId="27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77" i="27" l="1"/>
  <c r="F178" i="27"/>
  <c r="F179" i="27"/>
  <c r="F180" i="27"/>
  <c r="F181" i="27"/>
  <c r="F182" i="27"/>
  <c r="F183" i="27"/>
  <c r="F184" i="27"/>
  <c r="F185" i="27"/>
  <c r="F186" i="27"/>
  <c r="F187" i="27"/>
  <c r="F189" i="27"/>
  <c r="F190" i="27"/>
  <c r="F191" i="27"/>
  <c r="F192" i="27"/>
  <c r="F193" i="27"/>
  <c r="F194" i="27"/>
  <c r="F195" i="27"/>
  <c r="F176" i="27"/>
  <c r="F175" i="27"/>
  <c r="F174" i="27"/>
  <c r="F173" i="27"/>
  <c r="F172" i="27"/>
  <c r="F171" i="27"/>
  <c r="F170" i="27"/>
  <c r="F169" i="27"/>
  <c r="F168" i="27"/>
  <c r="F167" i="27"/>
  <c r="F166" i="27"/>
  <c r="F165" i="27"/>
  <c r="F164" i="27"/>
  <c r="F163" i="27"/>
  <c r="F162" i="27"/>
  <c r="F161" i="27"/>
  <c r="F160" i="27"/>
  <c r="F159" i="27"/>
  <c r="F158" i="27"/>
  <c r="F157" i="27"/>
  <c r="F156" i="27"/>
  <c r="F155" i="27"/>
  <c r="F154" i="27"/>
  <c r="F153" i="27"/>
  <c r="F152" i="27"/>
  <c r="F151" i="27"/>
  <c r="F150" i="27"/>
  <c r="F149" i="27"/>
  <c r="F148" i="27"/>
  <c r="F147" i="27"/>
  <c r="F146" i="27"/>
  <c r="F145" i="27"/>
  <c r="F144" i="27"/>
  <c r="F143" i="27"/>
  <c r="F142" i="27"/>
  <c r="F141" i="27"/>
  <c r="F140" i="27"/>
  <c r="F139" i="27"/>
  <c r="F138" i="27"/>
  <c r="F137" i="27"/>
  <c r="F136" i="27"/>
  <c r="F135" i="27"/>
  <c r="F134" i="27"/>
  <c r="F133" i="27"/>
  <c r="F132" i="27"/>
  <c r="F131" i="27"/>
  <c r="F130" i="27"/>
  <c r="F129" i="27"/>
  <c r="F128" i="27"/>
  <c r="F127" i="27"/>
  <c r="F126" i="27"/>
  <c r="F125" i="27"/>
  <c r="F124" i="27"/>
  <c r="F123" i="27"/>
  <c r="F122" i="27"/>
  <c r="F121" i="27"/>
  <c r="F120" i="27"/>
  <c r="F119" i="27"/>
  <c r="F118" i="27"/>
  <c r="F117" i="27"/>
  <c r="F116" i="27"/>
  <c r="F115" i="27"/>
  <c r="F114" i="27"/>
  <c r="F113" i="27"/>
  <c r="F112" i="27"/>
  <c r="F111" i="27"/>
  <c r="F110" i="27"/>
  <c r="F109" i="27"/>
  <c r="F108" i="27"/>
  <c r="F107" i="27"/>
  <c r="F106" i="27"/>
  <c r="F105" i="27"/>
  <c r="F104" i="27"/>
  <c r="F102" i="27"/>
  <c r="F103" i="27"/>
  <c r="F101" i="27"/>
  <c r="F100" i="27"/>
  <c r="F99" i="27"/>
  <c r="F98" i="27"/>
  <c r="F97" i="27"/>
  <c r="F96" i="27"/>
  <c r="F95" i="27"/>
  <c r="F94" i="27"/>
  <c r="F93" i="27"/>
  <c r="F92" i="27"/>
  <c r="F91" i="27"/>
  <c r="F90" i="27"/>
  <c r="F89" i="27"/>
  <c r="F88" i="27"/>
  <c r="F87" i="27"/>
  <c r="F86" i="27"/>
  <c r="F85" i="27"/>
  <c r="F84" i="27"/>
  <c r="F83" i="27"/>
  <c r="F82" i="27"/>
  <c r="F81" i="27"/>
  <c r="F80" i="27"/>
  <c r="F79" i="27"/>
  <c r="F78" i="27"/>
  <c r="F77" i="27"/>
  <c r="F76" i="27"/>
  <c r="F75" i="27"/>
  <c r="F74" i="27"/>
  <c r="F73" i="27"/>
  <c r="F72" i="27"/>
  <c r="F71" i="27"/>
  <c r="F70" i="27"/>
  <c r="F69" i="27"/>
  <c r="F68" i="27"/>
  <c r="F67" i="27"/>
  <c r="F66" i="27"/>
  <c r="F65" i="27"/>
  <c r="F64" i="27"/>
  <c r="F63" i="27"/>
  <c r="F62" i="27"/>
  <c r="F61" i="27"/>
  <c r="F60" i="27"/>
  <c r="F59" i="27"/>
  <c r="F58" i="27"/>
  <c r="F57" i="27"/>
  <c r="F56" i="27"/>
  <c r="F55" i="27"/>
  <c r="F54" i="27"/>
  <c r="F53" i="27"/>
  <c r="F18" i="27"/>
  <c r="F17" i="27"/>
  <c r="F16" i="27"/>
  <c r="F15" i="27"/>
  <c r="F14" i="27"/>
  <c r="F13" i="27"/>
  <c r="F12" i="27"/>
  <c r="F11" i="27"/>
  <c r="F10" i="27"/>
  <c r="F9" i="27"/>
  <c r="F8" i="27"/>
  <c r="F7" i="27"/>
  <c r="F6" i="27"/>
  <c r="F5" i="27"/>
  <c r="F4" i="27"/>
  <c r="F3" i="27"/>
  <c r="F2" i="27"/>
  <c r="F52" i="27"/>
  <c r="F51" i="27"/>
  <c r="F50" i="27"/>
  <c r="F49" i="27"/>
  <c r="F48" i="27"/>
  <c r="F47" i="27"/>
  <c r="F46" i="27"/>
  <c r="F45" i="27"/>
  <c r="F44" i="27"/>
  <c r="F43" i="27"/>
  <c r="F42" i="27"/>
  <c r="F41" i="27"/>
  <c r="F40" i="27"/>
  <c r="F39" i="27"/>
  <c r="F38" i="27"/>
  <c r="F37" i="27"/>
  <c r="F36" i="27"/>
  <c r="F34" i="27"/>
  <c r="F35" i="27"/>
  <c r="F33" i="27"/>
  <c r="F32" i="27"/>
  <c r="F31" i="27"/>
  <c r="F30" i="27"/>
  <c r="F29" i="27"/>
  <c r="F28" i="27"/>
  <c r="F27" i="27"/>
  <c r="F26" i="27"/>
  <c r="F25" i="27"/>
  <c r="F24" i="27"/>
  <c r="F23" i="27"/>
  <c r="F22" i="27"/>
  <c r="F21" i="27"/>
  <c r="F20" i="27"/>
  <c r="F19" i="27"/>
</calcChain>
</file>

<file path=xl/sharedStrings.xml><?xml version="1.0" encoding="utf-8"?>
<sst xmlns="http://schemas.openxmlformats.org/spreadsheetml/2006/main" count="430" uniqueCount="47">
  <si>
    <t>LIDERAZGO EN SEGURIDAD</t>
  </si>
  <si>
    <t>MANIOBRAS</t>
  </si>
  <si>
    <t>N°</t>
  </si>
  <si>
    <t>NOMBRE</t>
  </si>
  <si>
    <t>CARGO</t>
  </si>
  <si>
    <t>META</t>
  </si>
  <si>
    <t>AUD. PTS
 y AST</t>
  </si>
  <si>
    <t xml:space="preserve">BURGOS ESPINOZA, JEINER </t>
  </si>
  <si>
    <t>MANIOBRISTA</t>
  </si>
  <si>
    <t xml:space="preserve">FLORES CONTRERAS, DANIEL </t>
  </si>
  <si>
    <t>MELGAREJO ARROYO, EDWIN L</t>
  </si>
  <si>
    <t xml:space="preserve">REYES LIÑAN, PEDRO </t>
  </si>
  <si>
    <t xml:space="preserve">SALAZAR AZNARAN, LARRY </t>
  </si>
  <si>
    <t xml:space="preserve">SALVATIERRA LEON, ALFREDO </t>
  </si>
  <si>
    <t>VELASQUEZ MONZON, MAXIMO RAUL</t>
  </si>
  <si>
    <t>ARMIJO RODRIGUEZ, MILTON ANGEL</t>
  </si>
  <si>
    <t>SALVA</t>
  </si>
  <si>
    <t>FECHA</t>
  </si>
  <si>
    <t>TIPO DE OBJETIVO</t>
  </si>
  <si>
    <t>RESULTADO</t>
  </si>
  <si>
    <t xml:space="preserve">% CUMPLIMIENTO </t>
  </si>
  <si>
    <t>Salva</t>
  </si>
  <si>
    <t>ARMANDO SANCHEZ CRUZ</t>
  </si>
  <si>
    <t>SUPERVISOR DE MANIOBRAS</t>
  </si>
  <si>
    <t>Ins.de 
EPP y EPC</t>
  </si>
  <si>
    <t>Ins. de Arnés y Línea de Vida</t>
  </si>
  <si>
    <t xml:space="preserve">Ins. de Accesorios de Izamiento </t>
  </si>
  <si>
    <t>Ins. taller DE MANIOBRAS</t>
  </si>
  <si>
    <t>Ins., Check List, de Winche</t>
  </si>
  <si>
    <t>Ins., Check List, Carro de Varada</t>
  </si>
  <si>
    <t>ARMANDO SANCHEZ</t>
  </si>
  <si>
    <t>MANIOBRISTA/RIGER</t>
  </si>
  <si>
    <t>Ins., Escaleras de acceso a las embarcaciones</t>
  </si>
  <si>
    <t>SUSTENTO</t>
  </si>
  <si>
    <t>ANDRE ASIAN</t>
  </si>
  <si>
    <t>ALAN MARQUINA</t>
  </si>
  <si>
    <t>RAUL VELASQUEZ</t>
  </si>
  <si>
    <t>Vacaciones</t>
  </si>
  <si>
    <t xml:space="preserve">JEINER BURGOS  </t>
  </si>
  <si>
    <t>DANIEL FLORES</t>
  </si>
  <si>
    <t xml:space="preserve">LARRY SALAZAR  </t>
  </si>
  <si>
    <t xml:space="preserve">PEDRO REYES </t>
  </si>
  <si>
    <t xml:space="preserve">ALFREDO  SALVATIERRA </t>
  </si>
  <si>
    <t>EDUWIN MELGAREJO</t>
  </si>
  <si>
    <t xml:space="preserve">EDUWIN MELGAREJO </t>
  </si>
  <si>
    <t>MILTON ARMIJO</t>
  </si>
  <si>
    <t>ALEX ALBITRE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</si>
</sst>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b/>
      <sz val="16"/>
      <color theme="1"/>
      <name val="Arial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46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5" fillId="0" borderId="0" xfId="0" applyFont="1"/>
    <xf numFmtId="0" fontId="7" fillId="0" borderId="0" xfId="0" applyFont="1"/>
    <xf numFmtId="0" fontId="7" fillId="2" borderId="1" xfId="0" applyFont="1" applyFill="1" applyBorder="1" applyAlignment="1">
      <alignment horizontal="center"/>
    </xf>
    <xf numFmtId="0" fontId="7" fillId="2" borderId="1" xfId="0" applyFont="1" applyFill="1" applyBorder="1"/>
    <xf numFmtId="0" fontId="7" fillId="0" borderId="1" xfId="0" applyFont="1" applyBorder="1"/>
    <xf numFmtId="0" fontId="6" fillId="2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7" fillId="2" borderId="3" xfId="0" applyFont="1" applyFill="1" applyBorder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16" fontId="5" fillId="0" borderId="1" xfId="0" applyNumberFormat="1" applyFont="1" applyBorder="1" applyAlignment="1">
      <alignment horizontal="center"/>
    </xf>
    <xf numFmtId="0" fontId="7" fillId="2" borderId="3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6" fillId="3" borderId="5" xfId="0" applyFont="1" applyFill="1" applyBorder="1" applyAlignment="1">
      <alignment vertical="center" wrapText="1"/>
    </xf>
    <xf numFmtId="0" fontId="9" fillId="4" borderId="3" xfId="0" applyFont="1" applyFill="1" applyBorder="1" applyAlignment="1">
      <alignment horizontal="center"/>
    </xf>
    <xf numFmtId="0" fontId="9" fillId="4" borderId="2" xfId="0" applyFont="1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9" fontId="0" fillId="5" borderId="3" xfId="1" applyFont="1" applyFill="1" applyBorder="1" applyAlignment="1">
      <alignment horizontal="center"/>
    </xf>
    <xf numFmtId="14" fontId="0" fillId="5" borderId="3" xfId="0" applyNumberFormat="1" applyFill="1" applyBorder="1"/>
    <xf numFmtId="0" fontId="0" fillId="0" borderId="8" xfId="0" applyBorder="1"/>
    <xf numFmtId="0" fontId="0" fillId="6" borderId="8" xfId="0" applyFill="1" applyBorder="1"/>
    <xf numFmtId="14" fontId="0" fillId="5" borderId="6" xfId="0" applyNumberFormat="1" applyFill="1" applyBorder="1"/>
    <xf numFmtId="0" fontId="7" fillId="2" borderId="6" xfId="0" applyFont="1" applyFill="1" applyBorder="1"/>
    <xf numFmtId="0" fontId="1" fillId="2" borderId="6" xfId="0" applyFont="1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9" fontId="0" fillId="5" borderId="6" xfId="1" applyFont="1" applyFill="1" applyBorder="1" applyAlignment="1">
      <alignment horizontal="center"/>
    </xf>
    <xf numFmtId="0" fontId="0" fillId="0" borderId="7" xfId="0" applyBorder="1"/>
    <xf numFmtId="14" fontId="0" fillId="5" borderId="2" xfId="0" applyNumberFormat="1" applyFill="1" applyBorder="1" applyAlignment="1">
      <alignment horizontal="center"/>
    </xf>
    <xf numFmtId="14" fontId="0" fillId="5" borderId="2" xfId="0" applyNumberFormat="1" applyFill="1" applyBorder="1"/>
    <xf numFmtId="0" fontId="9" fillId="4" borderId="9" xfId="0" applyFont="1" applyFill="1" applyBorder="1" applyAlignment="1">
      <alignment horizontal="center"/>
    </xf>
    <xf numFmtId="0" fontId="0" fillId="0" borderId="9" xfId="0" applyBorder="1"/>
    <xf numFmtId="0" fontId="0" fillId="6" borderId="9" xfId="0" applyFill="1" applyBorder="1"/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0" fillId="5" borderId="3" xfId="0" applyFont="1" applyFill="1" applyBorder="1" applyAlignment="1">
      <alignment horizontal="center"/>
    </xf>
    <xf numFmtId="9" fontId="0" fillId="5" borderId="3" xfId="1" applyNumberFormat="1" applyFont="1" applyFill="1" applyBorder="1" applyAlignment="1">
      <alignment horizontal="center"/>
    </xf>
    <xf numFmtId="0" fontId="0" fillId="6" borderId="9" xfId="0" applyFont="1" applyFill="1" applyBorder="1"/>
  </cellXfs>
  <cellStyles count="2">
    <cellStyle name="Normal" xfId="0" builtinId="0"/>
    <cellStyle name="Porcentaje" xfId="1" builtinId="5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/mm/yyyy"/>
      <fill>
        <patternFill patternType="solid">
          <fgColor theme="4" tint="0.79998168889431442"/>
          <bgColor theme="0"/>
        </patternFill>
      </fill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theme="4" tint="0.3999755851924192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1</xdr:col>
      <xdr:colOff>571499</xdr:colOff>
      <xdr:row>1</xdr:row>
      <xdr:rowOff>209550</xdr:rowOff>
    </xdr:to>
    <xdr:pic>
      <xdr:nvPicPr>
        <xdr:cNvPr id="2" name="Picture 12" descr="image001">
          <a:extLst>
            <a:ext uri="{FF2B5EF4-FFF2-40B4-BE49-F238E27FC236}">
              <a16:creationId xmlns:a16="http://schemas.microsoft.com/office/drawing/2014/main" id="{F481951E-7073-42F6-BFFE-45CB52F4FE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"/>
          <a:ext cx="771524" cy="4667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283882</xdr:colOff>
      <xdr:row>140</xdr:row>
      <xdr:rowOff>97117</xdr:rowOff>
    </xdr:from>
    <xdr:to>
      <xdr:col>11</xdr:col>
      <xdr:colOff>36376</xdr:colOff>
      <xdr:row>154</xdr:row>
      <xdr:rowOff>41593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5BD8FA7-E2CE-D489-5047-76A4EAF21B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79529" y="26244176"/>
          <a:ext cx="2800494" cy="255918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1262A5-136B-4743-936E-C4C351EADCC5}" name="Maniobras2025" displayName="Maniobras2025" ref="A1:G195" totalsRowShown="0" headerRowDxfId="8" tableBorderDxfId="7">
  <autoFilter ref="A1:G195" xr:uid="{011262A5-136B-4743-936E-C4C351EADCC5}"/>
  <tableColumns count="7">
    <tableColumn id="1" xr3:uid="{2676BF07-9D31-4505-AF45-A2202C2B5B15}" name="FECHA" dataDxfId="6"/>
    <tableColumn id="2" xr3:uid="{D5DABB13-6925-42AD-8939-FA9663A2025D}" name="NOMBRE" dataDxfId="5"/>
    <tableColumn id="3" xr3:uid="{4D09DCC4-C552-4F29-BD4F-BAECC6B2BF36}" name="TIPO DE OBJETIVO" dataDxfId="4"/>
    <tableColumn id="4" xr3:uid="{42CC3A36-A80F-479A-9088-19A98C11F9AF}" name="RESULTADO" dataDxfId="3"/>
    <tableColumn id="5" xr3:uid="{B9B8F177-84E0-4B46-AD8D-E44B3ECC6645}" name="META" dataDxfId="2"/>
    <tableColumn id="6" xr3:uid="{F6359720-3CAE-4E7B-BBE1-9EC02A41908D}" name="% CUMPLIMIENTO " dataDxfId="1" dataCellStyle="Porcentaje">
      <calculatedColumnFormula>'BASE DE DATOS'!$D2/'BASE DE DATOS'!$E2</calculatedColumnFormula>
    </tableColumn>
    <tableColumn id="7" xr3:uid="{4D85680D-46DD-4B4B-AC12-AA10016AC23F}" name="SUSTENT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Azul cálido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S14"/>
  <sheetViews>
    <sheetView workbookViewId="0">
      <selection activeCell="E10" sqref="E10"/>
    </sheetView>
  </sheetViews>
  <sheetFormatPr baseColWidth="10" defaultColWidth="11.453125" defaultRowHeight="14" x14ac:dyDescent="0.3"/>
  <cols>
    <col min="1" max="1" width="3" style="4" bestFit="1" customWidth="1"/>
    <col min="2" max="2" width="30.1796875" style="4" customWidth="1"/>
    <col min="3" max="3" width="25.1796875" style="4" customWidth="1"/>
    <col min="4" max="4" width="7.36328125" style="4" customWidth="1"/>
    <col min="5" max="5" width="9.90625" style="4" customWidth="1"/>
    <col min="6" max="6" width="10.54296875" style="4" customWidth="1"/>
    <col min="7" max="16384" width="11.453125" style="4"/>
  </cols>
  <sheetData>
    <row r="1" spans="1:19" ht="15.5" x14ac:dyDescent="0.35">
      <c r="A1" s="2"/>
      <c r="B1" s="3"/>
      <c r="C1" s="3"/>
      <c r="D1" s="3"/>
    </row>
    <row r="2" spans="1:19" ht="20" x14ac:dyDescent="0.3">
      <c r="A2" s="40" t="s">
        <v>0</v>
      </c>
      <c r="B2" s="40"/>
      <c r="C2" s="40"/>
      <c r="D2" s="40"/>
    </row>
    <row r="3" spans="1:19" s="1" customFormat="1" ht="13" x14ac:dyDescent="0.25">
      <c r="A3" s="41" t="s">
        <v>1</v>
      </c>
      <c r="B3" s="41"/>
      <c r="C3" s="41"/>
      <c r="D3" s="41"/>
    </row>
    <row r="4" spans="1:19" s="5" customFormat="1" ht="14.25" customHeight="1" x14ac:dyDescent="0.25">
      <c r="A4" s="42" t="s">
        <v>2</v>
      </c>
      <c r="B4" s="42" t="s">
        <v>3</v>
      </c>
      <c r="C4" s="42" t="s">
        <v>4</v>
      </c>
      <c r="D4" s="38" t="s">
        <v>5</v>
      </c>
      <c r="E4" s="39"/>
      <c r="F4" s="39"/>
      <c r="G4" s="39"/>
      <c r="H4" s="39"/>
      <c r="I4" s="39"/>
      <c r="J4" s="39"/>
      <c r="K4" s="39"/>
      <c r="L4" s="39"/>
      <c r="M4" s="19"/>
      <c r="N4" s="19"/>
      <c r="O4" s="19"/>
      <c r="P4" s="19"/>
      <c r="Q4" s="19"/>
      <c r="R4" s="19"/>
      <c r="S4" s="19"/>
    </row>
    <row r="5" spans="1:19" s="5" customFormat="1" ht="32.5" customHeight="1" x14ac:dyDescent="0.25">
      <c r="A5" s="42"/>
      <c r="B5" s="42"/>
      <c r="C5" s="42"/>
      <c r="D5" s="11" t="s">
        <v>16</v>
      </c>
      <c r="E5" s="10" t="s">
        <v>6</v>
      </c>
      <c r="F5" s="10" t="s">
        <v>24</v>
      </c>
      <c r="G5" s="10" t="s">
        <v>25</v>
      </c>
      <c r="H5" s="10" t="s">
        <v>26</v>
      </c>
      <c r="I5" s="10" t="s">
        <v>27</v>
      </c>
      <c r="J5" s="10" t="s">
        <v>28</v>
      </c>
      <c r="K5" s="10" t="s">
        <v>29</v>
      </c>
      <c r="L5" s="10" t="s">
        <v>32</v>
      </c>
    </row>
    <row r="6" spans="1:19" s="5" customFormat="1" ht="16" customHeight="1" x14ac:dyDescent="0.25">
      <c r="A6" s="6">
        <v>1</v>
      </c>
      <c r="B6" s="7" t="s">
        <v>22</v>
      </c>
      <c r="C6" s="8" t="s">
        <v>23</v>
      </c>
      <c r="D6" s="9">
        <v>4</v>
      </c>
      <c r="E6" s="13">
        <v>6</v>
      </c>
      <c r="F6" s="13">
        <v>1</v>
      </c>
      <c r="G6" s="13">
        <v>1</v>
      </c>
      <c r="H6" s="13">
        <v>1</v>
      </c>
      <c r="I6" s="13">
        <v>1</v>
      </c>
      <c r="J6" s="13">
        <v>1</v>
      </c>
      <c r="K6" s="13">
        <v>1</v>
      </c>
      <c r="L6" s="13">
        <v>1</v>
      </c>
    </row>
    <row r="7" spans="1:19" s="5" customFormat="1" ht="16" customHeight="1" x14ac:dyDescent="0.25">
      <c r="A7" s="6">
        <v>2</v>
      </c>
      <c r="B7" s="7" t="s">
        <v>7</v>
      </c>
      <c r="C7" s="8" t="s">
        <v>8</v>
      </c>
      <c r="D7" s="9">
        <v>2</v>
      </c>
      <c r="E7" s="13"/>
    </row>
    <row r="8" spans="1:19" s="5" customFormat="1" ht="16" customHeight="1" x14ac:dyDescent="0.25">
      <c r="A8" s="6">
        <v>3</v>
      </c>
      <c r="B8" s="7" t="s">
        <v>9</v>
      </c>
      <c r="C8" s="8" t="s">
        <v>8</v>
      </c>
      <c r="D8" s="9">
        <v>2</v>
      </c>
      <c r="E8" s="13"/>
    </row>
    <row r="9" spans="1:19" s="5" customFormat="1" ht="16" customHeight="1" x14ac:dyDescent="0.25">
      <c r="A9" s="6">
        <v>4</v>
      </c>
      <c r="B9" s="7" t="s">
        <v>10</v>
      </c>
      <c r="C9" s="8" t="s">
        <v>8</v>
      </c>
      <c r="D9" s="9">
        <v>2</v>
      </c>
      <c r="E9" s="14"/>
    </row>
    <row r="10" spans="1:19" s="5" customFormat="1" ht="16" customHeight="1" x14ac:dyDescent="0.25">
      <c r="A10" s="6">
        <v>5</v>
      </c>
      <c r="B10" s="7" t="s">
        <v>11</v>
      </c>
      <c r="C10" s="8" t="s">
        <v>31</v>
      </c>
      <c r="D10" s="9">
        <v>2</v>
      </c>
      <c r="E10" s="14"/>
    </row>
    <row r="11" spans="1:19" s="5" customFormat="1" ht="16" customHeight="1" x14ac:dyDescent="0.25">
      <c r="A11" s="6">
        <v>6</v>
      </c>
      <c r="B11" s="7" t="s">
        <v>12</v>
      </c>
      <c r="C11" s="8" t="s">
        <v>8</v>
      </c>
      <c r="D11" s="9">
        <v>2</v>
      </c>
      <c r="E11" s="14"/>
    </row>
    <row r="12" spans="1:19" s="5" customFormat="1" ht="16" customHeight="1" x14ac:dyDescent="0.25">
      <c r="A12" s="6">
        <v>7</v>
      </c>
      <c r="B12" s="7" t="s">
        <v>13</v>
      </c>
      <c r="C12" s="8" t="s">
        <v>31</v>
      </c>
      <c r="D12" s="9">
        <v>2</v>
      </c>
      <c r="E12" s="14"/>
    </row>
    <row r="13" spans="1:19" s="5" customFormat="1" ht="16" customHeight="1" x14ac:dyDescent="0.25">
      <c r="A13" s="6">
        <v>8</v>
      </c>
      <c r="B13" s="7" t="s">
        <v>14</v>
      </c>
      <c r="C13" s="8" t="s">
        <v>8</v>
      </c>
      <c r="D13" s="9">
        <v>2</v>
      </c>
      <c r="E13" s="14"/>
    </row>
    <row r="14" spans="1:19" x14ac:dyDescent="0.3">
      <c r="A14" s="6">
        <v>9</v>
      </c>
      <c r="B14" s="7" t="s">
        <v>15</v>
      </c>
      <c r="C14" s="8" t="s">
        <v>8</v>
      </c>
      <c r="D14" s="9">
        <v>2</v>
      </c>
      <c r="E14" s="15"/>
    </row>
  </sheetData>
  <mergeCells count="6">
    <mergeCell ref="D4:L4"/>
    <mergeCell ref="A2:D2"/>
    <mergeCell ref="A3:D3"/>
    <mergeCell ref="A4:A5"/>
    <mergeCell ref="B4:B5"/>
    <mergeCell ref="C4:C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E5A3E-AF26-44AE-9F5D-888C093DF262}">
  <sheetPr codeName="Hoja2"/>
  <dimension ref="A1:G202"/>
  <sheetViews>
    <sheetView tabSelected="1" topLeftCell="A173" zoomScale="85" zoomScaleNormal="85" workbookViewId="0">
      <selection activeCell="C184" sqref="C184"/>
    </sheetView>
  </sheetViews>
  <sheetFormatPr baseColWidth="10" defaultRowHeight="14.5" x14ac:dyDescent="0.35"/>
  <cols>
    <col min="2" max="2" width="30.453125" bestFit="1" customWidth="1"/>
    <col min="3" max="3" width="39" style="18" bestFit="1" customWidth="1"/>
    <col min="4" max="4" width="15.26953125" bestFit="1" customWidth="1"/>
    <col min="5" max="5" width="10.26953125" bestFit="1" customWidth="1"/>
    <col min="6" max="6" width="19.81640625" customWidth="1"/>
    <col min="7" max="7" width="17.36328125" customWidth="1"/>
  </cols>
  <sheetData>
    <row r="1" spans="1:7" x14ac:dyDescent="0.35">
      <c r="A1" s="21" t="s">
        <v>17</v>
      </c>
      <c r="B1" s="20" t="s">
        <v>3</v>
      </c>
      <c r="C1" s="20" t="s">
        <v>18</v>
      </c>
      <c r="D1" s="20" t="s">
        <v>19</v>
      </c>
      <c r="E1" s="20" t="s">
        <v>5</v>
      </c>
      <c r="F1" s="20" t="s">
        <v>20</v>
      </c>
      <c r="G1" s="35" t="s">
        <v>33</v>
      </c>
    </row>
    <row r="2" spans="1:7" x14ac:dyDescent="0.35">
      <c r="A2" s="33">
        <v>44957</v>
      </c>
      <c r="B2" s="16" t="s">
        <v>30</v>
      </c>
      <c r="C2" s="17" t="s">
        <v>16</v>
      </c>
      <c r="D2" s="22">
        <v>7</v>
      </c>
      <c r="E2" s="22">
        <v>4</v>
      </c>
      <c r="F2" s="23">
        <f>'BASE DE DATOS'!$D2/'BASE DE DATOS'!$E2</f>
        <v>1.75</v>
      </c>
      <c r="G2" s="35"/>
    </row>
    <row r="3" spans="1:7" x14ac:dyDescent="0.35">
      <c r="A3" s="33">
        <v>44957</v>
      </c>
      <c r="B3" s="16" t="s">
        <v>30</v>
      </c>
      <c r="C3" s="17" t="s">
        <v>6</v>
      </c>
      <c r="D3" s="22">
        <v>1</v>
      </c>
      <c r="E3" s="22">
        <v>6</v>
      </c>
      <c r="F3" s="23">
        <f>'BASE DE DATOS'!$D3/'BASE DE DATOS'!$E3</f>
        <v>0.16666666666666666</v>
      </c>
      <c r="G3" s="35"/>
    </row>
    <row r="4" spans="1:7" x14ac:dyDescent="0.35">
      <c r="A4" s="33">
        <v>44957</v>
      </c>
      <c r="B4" s="16" t="s">
        <v>30</v>
      </c>
      <c r="C4" s="17" t="s">
        <v>24</v>
      </c>
      <c r="D4" s="22">
        <v>1</v>
      </c>
      <c r="E4" s="22">
        <v>1</v>
      </c>
      <c r="F4" s="23">
        <f>'BASE DE DATOS'!$D4/'BASE DE DATOS'!$E4</f>
        <v>1</v>
      </c>
      <c r="G4" s="35"/>
    </row>
    <row r="5" spans="1:7" x14ac:dyDescent="0.35">
      <c r="A5" s="33">
        <v>44957</v>
      </c>
      <c r="B5" s="16" t="s">
        <v>30</v>
      </c>
      <c r="C5" s="17" t="s">
        <v>25</v>
      </c>
      <c r="D5" s="22">
        <v>1</v>
      </c>
      <c r="E5" s="22">
        <v>1</v>
      </c>
      <c r="F5" s="23">
        <f>'BASE DE DATOS'!$D5/'BASE DE DATOS'!$E5</f>
        <v>1</v>
      </c>
      <c r="G5" s="35"/>
    </row>
    <row r="6" spans="1:7" x14ac:dyDescent="0.35">
      <c r="A6" s="33">
        <v>44957</v>
      </c>
      <c r="B6" s="16" t="s">
        <v>30</v>
      </c>
      <c r="C6" s="17" t="s">
        <v>26</v>
      </c>
      <c r="D6" s="22">
        <v>1</v>
      </c>
      <c r="E6" s="22">
        <v>1</v>
      </c>
      <c r="F6" s="23">
        <f>'BASE DE DATOS'!$D6/'BASE DE DATOS'!$E6</f>
        <v>1</v>
      </c>
      <c r="G6" s="35"/>
    </row>
    <row r="7" spans="1:7" x14ac:dyDescent="0.35">
      <c r="A7" s="33">
        <v>44957</v>
      </c>
      <c r="B7" s="16" t="s">
        <v>30</v>
      </c>
      <c r="C7" s="17" t="s">
        <v>27</v>
      </c>
      <c r="D7" s="22">
        <v>1</v>
      </c>
      <c r="E7" s="22">
        <v>1</v>
      </c>
      <c r="F7" s="23">
        <f>'BASE DE DATOS'!$D7/'BASE DE DATOS'!$E7</f>
        <v>1</v>
      </c>
      <c r="G7" s="35"/>
    </row>
    <row r="8" spans="1:7" x14ac:dyDescent="0.35">
      <c r="A8" s="33">
        <v>44957</v>
      </c>
      <c r="B8" s="16" t="s">
        <v>30</v>
      </c>
      <c r="C8" s="17" t="s">
        <v>28</v>
      </c>
      <c r="D8" s="22">
        <v>1</v>
      </c>
      <c r="E8" s="22">
        <v>1</v>
      </c>
      <c r="F8" s="23">
        <f>'BASE DE DATOS'!$D8/'BASE DE DATOS'!$E8</f>
        <v>1</v>
      </c>
      <c r="G8" s="35"/>
    </row>
    <row r="9" spans="1:7" x14ac:dyDescent="0.35">
      <c r="A9" s="33">
        <v>44957</v>
      </c>
      <c r="B9" s="16" t="s">
        <v>30</v>
      </c>
      <c r="C9" s="17" t="s">
        <v>29</v>
      </c>
      <c r="D9" s="22">
        <v>1</v>
      </c>
      <c r="E9" s="22">
        <v>1</v>
      </c>
      <c r="F9" s="23">
        <f>'BASE DE DATOS'!$D9/'BASE DE DATOS'!$E9</f>
        <v>1</v>
      </c>
      <c r="G9" s="35"/>
    </row>
    <row r="10" spans="1:7" x14ac:dyDescent="0.35">
      <c r="A10" s="33">
        <v>44957</v>
      </c>
      <c r="B10" s="12" t="s">
        <v>38</v>
      </c>
      <c r="C10" s="17" t="s">
        <v>21</v>
      </c>
      <c r="D10" s="22">
        <v>2</v>
      </c>
      <c r="E10" s="22">
        <v>2</v>
      </c>
      <c r="F10" s="23">
        <f>'BASE DE DATOS'!$D10/'BASE DE DATOS'!$E10</f>
        <v>1</v>
      </c>
      <c r="G10" s="35"/>
    </row>
    <row r="11" spans="1:7" x14ac:dyDescent="0.35">
      <c r="A11" s="33">
        <v>44957</v>
      </c>
      <c r="B11" s="12" t="s">
        <v>39</v>
      </c>
      <c r="C11" s="17" t="s">
        <v>21</v>
      </c>
      <c r="D11" s="22">
        <v>2</v>
      </c>
      <c r="E11" s="22">
        <v>2</v>
      </c>
      <c r="F11" s="23">
        <f>'BASE DE DATOS'!$D11/'BASE DE DATOS'!$E11</f>
        <v>1</v>
      </c>
      <c r="G11" s="35"/>
    </row>
    <row r="12" spans="1:7" x14ac:dyDescent="0.35">
      <c r="A12" s="33">
        <v>44957</v>
      </c>
      <c r="B12" s="12" t="s">
        <v>44</v>
      </c>
      <c r="C12" s="17" t="s">
        <v>21</v>
      </c>
      <c r="D12" s="22">
        <v>2</v>
      </c>
      <c r="E12" s="22">
        <v>2</v>
      </c>
      <c r="F12" s="23">
        <f>'BASE DE DATOS'!$D12/'BASE DE DATOS'!$E12</f>
        <v>1</v>
      </c>
      <c r="G12" s="35"/>
    </row>
    <row r="13" spans="1:7" x14ac:dyDescent="0.35">
      <c r="A13" s="33">
        <v>44957</v>
      </c>
      <c r="B13" s="12" t="s">
        <v>41</v>
      </c>
      <c r="C13" s="17" t="s">
        <v>21</v>
      </c>
      <c r="D13" s="22">
        <v>4</v>
      </c>
      <c r="E13" s="22">
        <v>2</v>
      </c>
      <c r="F13" s="23">
        <f>'BASE DE DATOS'!$D13/'BASE DE DATOS'!$E13</f>
        <v>2</v>
      </c>
      <c r="G13" s="35"/>
    </row>
    <row r="14" spans="1:7" x14ac:dyDescent="0.35">
      <c r="A14" s="33">
        <v>44957</v>
      </c>
      <c r="B14" s="12" t="s">
        <v>40</v>
      </c>
      <c r="C14" s="17" t="s">
        <v>21</v>
      </c>
      <c r="D14" s="22">
        <v>2</v>
      </c>
      <c r="E14" s="22">
        <v>2</v>
      </c>
      <c r="F14" s="23">
        <f>'BASE DE DATOS'!$D14/'BASE DE DATOS'!$E14</f>
        <v>1</v>
      </c>
      <c r="G14" s="35"/>
    </row>
    <row r="15" spans="1:7" x14ac:dyDescent="0.35">
      <c r="A15" s="33">
        <v>44957</v>
      </c>
      <c r="B15" s="12" t="s">
        <v>42</v>
      </c>
      <c r="C15" s="17" t="s">
        <v>21</v>
      </c>
      <c r="D15" s="22">
        <v>0</v>
      </c>
      <c r="E15" s="22">
        <v>2</v>
      </c>
      <c r="F15" s="23">
        <f>'BASE DE DATOS'!$D15/'BASE DE DATOS'!$E15</f>
        <v>0</v>
      </c>
      <c r="G15" s="35"/>
    </row>
    <row r="16" spans="1:7" x14ac:dyDescent="0.35">
      <c r="A16" s="33">
        <v>44957</v>
      </c>
      <c r="B16" s="12" t="s">
        <v>45</v>
      </c>
      <c r="C16" s="17" t="s">
        <v>21</v>
      </c>
      <c r="D16" s="22">
        <v>2</v>
      </c>
      <c r="E16" s="22">
        <v>2</v>
      </c>
      <c r="F16" s="23">
        <f>'BASE DE DATOS'!$D16/'BASE DE DATOS'!$E16</f>
        <v>1</v>
      </c>
      <c r="G16" s="35"/>
    </row>
    <row r="17" spans="1:7" x14ac:dyDescent="0.35">
      <c r="A17" s="33">
        <v>44957</v>
      </c>
      <c r="B17" s="12" t="s">
        <v>35</v>
      </c>
      <c r="C17" s="17" t="s">
        <v>21</v>
      </c>
      <c r="D17" s="22">
        <v>2</v>
      </c>
      <c r="E17" s="22">
        <v>2</v>
      </c>
      <c r="F17" s="23">
        <f>'BASE DE DATOS'!$D17/'BASE DE DATOS'!$E17</f>
        <v>1</v>
      </c>
      <c r="G17" s="35"/>
    </row>
    <row r="18" spans="1:7" x14ac:dyDescent="0.35">
      <c r="A18" s="33">
        <v>44957</v>
      </c>
      <c r="B18" s="12" t="s">
        <v>34</v>
      </c>
      <c r="C18" s="17" t="s">
        <v>21</v>
      </c>
      <c r="D18" s="22">
        <v>2</v>
      </c>
      <c r="E18" s="22">
        <v>2</v>
      </c>
      <c r="F18" s="23">
        <f>'BASE DE DATOS'!$D18/'BASE DE DATOS'!$E18</f>
        <v>1</v>
      </c>
      <c r="G18" s="35"/>
    </row>
    <row r="19" spans="1:7" x14ac:dyDescent="0.35">
      <c r="A19" s="34">
        <v>45351</v>
      </c>
      <c r="B19" s="16" t="s">
        <v>30</v>
      </c>
      <c r="C19" s="17" t="s">
        <v>16</v>
      </c>
      <c r="D19" s="22">
        <v>9</v>
      </c>
      <c r="E19" s="22">
        <v>4</v>
      </c>
      <c r="F19" s="23">
        <f>'BASE DE DATOS'!$D19/'BASE DE DATOS'!$E19</f>
        <v>2.25</v>
      </c>
      <c r="G19" s="36"/>
    </row>
    <row r="20" spans="1:7" x14ac:dyDescent="0.35">
      <c r="A20" s="34">
        <v>45351</v>
      </c>
      <c r="B20" s="16" t="s">
        <v>30</v>
      </c>
      <c r="C20" s="17" t="s">
        <v>6</v>
      </c>
      <c r="D20" s="22">
        <v>6</v>
      </c>
      <c r="E20" s="22">
        <v>6</v>
      </c>
      <c r="F20" s="23">
        <f>'BASE DE DATOS'!$D20/'BASE DE DATOS'!$E20</f>
        <v>1</v>
      </c>
      <c r="G20" s="37"/>
    </row>
    <row r="21" spans="1:7" x14ac:dyDescent="0.35">
      <c r="A21" s="34">
        <v>45351</v>
      </c>
      <c r="B21" s="16" t="s">
        <v>30</v>
      </c>
      <c r="C21" s="17" t="s">
        <v>24</v>
      </c>
      <c r="D21" s="22">
        <v>1</v>
      </c>
      <c r="E21" s="22">
        <v>1</v>
      </c>
      <c r="F21" s="23">
        <f>'BASE DE DATOS'!$D21/'BASE DE DATOS'!$E21</f>
        <v>1</v>
      </c>
      <c r="G21" s="36"/>
    </row>
    <row r="22" spans="1:7" x14ac:dyDescent="0.35">
      <c r="A22" s="34">
        <v>45351</v>
      </c>
      <c r="B22" s="16" t="s">
        <v>30</v>
      </c>
      <c r="C22" s="17" t="s">
        <v>25</v>
      </c>
      <c r="D22" s="22">
        <v>1</v>
      </c>
      <c r="E22" s="22">
        <v>1</v>
      </c>
      <c r="F22" s="23">
        <f>'BASE DE DATOS'!$D22/'BASE DE DATOS'!$E22</f>
        <v>1</v>
      </c>
      <c r="G22" s="37"/>
    </row>
    <row r="23" spans="1:7" x14ac:dyDescent="0.35">
      <c r="A23" s="34">
        <v>45351</v>
      </c>
      <c r="B23" s="16" t="s">
        <v>30</v>
      </c>
      <c r="C23" s="17" t="s">
        <v>26</v>
      </c>
      <c r="D23" s="22">
        <v>1</v>
      </c>
      <c r="E23" s="22">
        <v>1</v>
      </c>
      <c r="F23" s="23">
        <f>'BASE DE DATOS'!$D23/'BASE DE DATOS'!$E23</f>
        <v>1</v>
      </c>
      <c r="G23" s="36"/>
    </row>
    <row r="24" spans="1:7" x14ac:dyDescent="0.35">
      <c r="A24" s="34">
        <v>45351</v>
      </c>
      <c r="B24" s="16" t="s">
        <v>30</v>
      </c>
      <c r="C24" s="17" t="s">
        <v>27</v>
      </c>
      <c r="D24" s="22">
        <v>1</v>
      </c>
      <c r="E24" s="22">
        <v>1</v>
      </c>
      <c r="F24" s="23">
        <f>'BASE DE DATOS'!$D24/'BASE DE DATOS'!$E24</f>
        <v>1</v>
      </c>
      <c r="G24" s="37"/>
    </row>
    <row r="25" spans="1:7" x14ac:dyDescent="0.35">
      <c r="A25" s="34">
        <v>45351</v>
      </c>
      <c r="B25" s="16" t="s">
        <v>30</v>
      </c>
      <c r="C25" s="17" t="s">
        <v>28</v>
      </c>
      <c r="D25" s="22">
        <v>1</v>
      </c>
      <c r="E25" s="22">
        <v>1</v>
      </c>
      <c r="F25" s="23">
        <f>'BASE DE DATOS'!$D25/'BASE DE DATOS'!$E25</f>
        <v>1</v>
      </c>
      <c r="G25" s="36"/>
    </row>
    <row r="26" spans="1:7" x14ac:dyDescent="0.35">
      <c r="A26" s="34">
        <v>45351</v>
      </c>
      <c r="B26" s="16" t="s">
        <v>30</v>
      </c>
      <c r="C26" s="17" t="s">
        <v>29</v>
      </c>
      <c r="D26" s="22">
        <v>1</v>
      </c>
      <c r="E26" s="22">
        <v>1</v>
      </c>
      <c r="F26" s="23">
        <f>'BASE DE DATOS'!$D26/'BASE DE DATOS'!$E26</f>
        <v>1</v>
      </c>
      <c r="G26" s="37"/>
    </row>
    <row r="27" spans="1:7" x14ac:dyDescent="0.35">
      <c r="A27" s="34">
        <v>45351</v>
      </c>
      <c r="B27" s="12" t="s">
        <v>38</v>
      </c>
      <c r="C27" s="17" t="s">
        <v>21</v>
      </c>
      <c r="D27" s="22">
        <v>2</v>
      </c>
      <c r="E27" s="22">
        <v>2</v>
      </c>
      <c r="F27" s="23">
        <f>'BASE DE DATOS'!$D27/'BASE DE DATOS'!$E27</f>
        <v>1</v>
      </c>
      <c r="G27" s="36"/>
    </row>
    <row r="28" spans="1:7" x14ac:dyDescent="0.35">
      <c r="A28" s="34">
        <v>45351</v>
      </c>
      <c r="B28" s="12" t="s">
        <v>39</v>
      </c>
      <c r="C28" s="17" t="s">
        <v>21</v>
      </c>
      <c r="D28" s="22">
        <v>2</v>
      </c>
      <c r="E28" s="22">
        <v>2</v>
      </c>
      <c r="F28" s="23">
        <f>'BASE DE DATOS'!$D28/'BASE DE DATOS'!$E28</f>
        <v>1</v>
      </c>
      <c r="G28" s="37"/>
    </row>
    <row r="29" spans="1:7" x14ac:dyDescent="0.35">
      <c r="A29" s="34">
        <v>45351</v>
      </c>
      <c r="B29" s="12" t="s">
        <v>44</v>
      </c>
      <c r="C29" s="17" t="s">
        <v>21</v>
      </c>
      <c r="D29" s="22">
        <v>2</v>
      </c>
      <c r="E29" s="22">
        <v>2</v>
      </c>
      <c r="F29" s="23">
        <f>'BASE DE DATOS'!$D29/'BASE DE DATOS'!$E29</f>
        <v>1</v>
      </c>
      <c r="G29" s="36"/>
    </row>
    <row r="30" spans="1:7" x14ac:dyDescent="0.35">
      <c r="A30" s="34">
        <v>45351</v>
      </c>
      <c r="B30" s="12" t="s">
        <v>41</v>
      </c>
      <c r="C30" s="17" t="s">
        <v>21</v>
      </c>
      <c r="D30" s="22">
        <v>2</v>
      </c>
      <c r="E30" s="22">
        <v>2</v>
      </c>
      <c r="F30" s="23">
        <f>'BASE DE DATOS'!$D30/'BASE DE DATOS'!$E30</f>
        <v>1</v>
      </c>
      <c r="G30" s="37"/>
    </row>
    <row r="31" spans="1:7" x14ac:dyDescent="0.35">
      <c r="A31" s="34">
        <v>45351</v>
      </c>
      <c r="B31" s="12" t="s">
        <v>40</v>
      </c>
      <c r="C31" s="17" t="s">
        <v>21</v>
      </c>
      <c r="D31" s="22">
        <v>2</v>
      </c>
      <c r="E31" s="22">
        <v>2</v>
      </c>
      <c r="F31" s="23">
        <f>'BASE DE DATOS'!$D31/'BASE DE DATOS'!$E31</f>
        <v>1</v>
      </c>
      <c r="G31" s="36"/>
    </row>
    <row r="32" spans="1:7" x14ac:dyDescent="0.35">
      <c r="A32" s="34">
        <v>45351</v>
      </c>
      <c r="B32" s="12" t="s">
        <v>42</v>
      </c>
      <c r="C32" s="17" t="s">
        <v>21</v>
      </c>
      <c r="D32" s="22">
        <v>2</v>
      </c>
      <c r="E32" s="22">
        <v>2</v>
      </c>
      <c r="F32" s="23">
        <f>'BASE DE DATOS'!$D32/'BASE DE DATOS'!$E32</f>
        <v>1</v>
      </c>
      <c r="G32" s="37"/>
    </row>
    <row r="33" spans="1:7" x14ac:dyDescent="0.35">
      <c r="A33" s="34">
        <v>45351</v>
      </c>
      <c r="B33" s="12" t="s">
        <v>45</v>
      </c>
      <c r="C33" s="17" t="s">
        <v>21</v>
      </c>
      <c r="D33" s="22">
        <v>2</v>
      </c>
      <c r="E33" s="22">
        <v>2</v>
      </c>
      <c r="F33" s="23">
        <f>'BASE DE DATOS'!$D33/'BASE DE DATOS'!$E33</f>
        <v>1</v>
      </c>
      <c r="G33" s="36"/>
    </row>
    <row r="34" spans="1:7" x14ac:dyDescent="0.35">
      <c r="A34" s="34">
        <v>45351</v>
      </c>
      <c r="B34" s="12" t="s">
        <v>35</v>
      </c>
      <c r="C34" s="17" t="s">
        <v>21</v>
      </c>
      <c r="D34" s="22">
        <v>2</v>
      </c>
      <c r="E34" s="22">
        <v>2</v>
      </c>
      <c r="F34" s="23">
        <f>'BASE DE DATOS'!$D34/'BASE DE DATOS'!$E34</f>
        <v>1</v>
      </c>
      <c r="G34" s="37"/>
    </row>
    <row r="35" spans="1:7" x14ac:dyDescent="0.35">
      <c r="A35" s="34">
        <v>45351</v>
      </c>
      <c r="B35" s="12" t="s">
        <v>34</v>
      </c>
      <c r="C35" s="17" t="s">
        <v>21</v>
      </c>
      <c r="D35" s="22">
        <v>2</v>
      </c>
      <c r="E35" s="22">
        <v>2</v>
      </c>
      <c r="F35" s="23">
        <f>'BASE DE DATOS'!$D35/'BASE DE DATOS'!$E35</f>
        <v>1</v>
      </c>
      <c r="G35" s="36"/>
    </row>
    <row r="36" spans="1:7" x14ac:dyDescent="0.35">
      <c r="A36" s="34">
        <v>45382</v>
      </c>
      <c r="B36" s="16" t="s">
        <v>30</v>
      </c>
      <c r="C36" s="17" t="s">
        <v>16</v>
      </c>
      <c r="D36" s="22">
        <v>12</v>
      </c>
      <c r="E36" s="22">
        <v>4</v>
      </c>
      <c r="F36" s="23">
        <f>'BASE DE DATOS'!$D36/'BASE DE DATOS'!$E36</f>
        <v>3</v>
      </c>
      <c r="G36" s="37"/>
    </row>
    <row r="37" spans="1:7" x14ac:dyDescent="0.35">
      <c r="A37" s="34">
        <v>45382</v>
      </c>
      <c r="B37" s="16" t="s">
        <v>30</v>
      </c>
      <c r="C37" s="17" t="s">
        <v>6</v>
      </c>
      <c r="D37" s="22">
        <v>8</v>
      </c>
      <c r="E37" s="22">
        <v>6</v>
      </c>
      <c r="F37" s="23">
        <f>'BASE DE DATOS'!$D37/'BASE DE DATOS'!$E37</f>
        <v>1.3333333333333333</v>
      </c>
      <c r="G37" s="36"/>
    </row>
    <row r="38" spans="1:7" x14ac:dyDescent="0.35">
      <c r="A38" s="34">
        <v>45382</v>
      </c>
      <c r="B38" s="16" t="s">
        <v>30</v>
      </c>
      <c r="C38" s="17" t="s">
        <v>24</v>
      </c>
      <c r="D38" s="22">
        <v>1</v>
      </c>
      <c r="E38" s="22">
        <v>1</v>
      </c>
      <c r="F38" s="23">
        <f>'BASE DE DATOS'!$D38/'BASE DE DATOS'!$E38</f>
        <v>1</v>
      </c>
      <c r="G38" s="37"/>
    </row>
    <row r="39" spans="1:7" x14ac:dyDescent="0.35">
      <c r="A39" s="34">
        <v>45382</v>
      </c>
      <c r="B39" s="16" t="s">
        <v>30</v>
      </c>
      <c r="C39" s="17" t="s">
        <v>25</v>
      </c>
      <c r="D39" s="22">
        <v>1</v>
      </c>
      <c r="E39" s="22">
        <v>1</v>
      </c>
      <c r="F39" s="23">
        <f>'BASE DE DATOS'!$D39/'BASE DE DATOS'!$E39</f>
        <v>1</v>
      </c>
      <c r="G39" s="36"/>
    </row>
    <row r="40" spans="1:7" x14ac:dyDescent="0.35">
      <c r="A40" s="34">
        <v>45382</v>
      </c>
      <c r="B40" s="16" t="s">
        <v>30</v>
      </c>
      <c r="C40" s="17" t="s">
        <v>26</v>
      </c>
      <c r="D40" s="22">
        <v>1</v>
      </c>
      <c r="E40" s="22">
        <v>1</v>
      </c>
      <c r="F40" s="23">
        <f>'BASE DE DATOS'!$D40/'BASE DE DATOS'!$E40</f>
        <v>1</v>
      </c>
      <c r="G40" s="37"/>
    </row>
    <row r="41" spans="1:7" x14ac:dyDescent="0.35">
      <c r="A41" s="34">
        <v>45382</v>
      </c>
      <c r="B41" s="16" t="s">
        <v>30</v>
      </c>
      <c r="C41" s="17" t="s">
        <v>27</v>
      </c>
      <c r="D41" s="22">
        <v>1</v>
      </c>
      <c r="E41" s="22">
        <v>1</v>
      </c>
      <c r="F41" s="23">
        <f>'BASE DE DATOS'!$D41/'BASE DE DATOS'!$E41</f>
        <v>1</v>
      </c>
      <c r="G41" s="36"/>
    </row>
    <row r="42" spans="1:7" x14ac:dyDescent="0.35">
      <c r="A42" s="34">
        <v>45382</v>
      </c>
      <c r="B42" s="16" t="s">
        <v>30</v>
      </c>
      <c r="C42" s="17" t="s">
        <v>28</v>
      </c>
      <c r="D42" s="22">
        <v>1</v>
      </c>
      <c r="E42" s="22">
        <v>1</v>
      </c>
      <c r="F42" s="23">
        <f>'BASE DE DATOS'!$D42/'BASE DE DATOS'!$E42</f>
        <v>1</v>
      </c>
      <c r="G42" s="37"/>
    </row>
    <row r="43" spans="1:7" x14ac:dyDescent="0.35">
      <c r="A43" s="34">
        <v>45382</v>
      </c>
      <c r="B43" s="16" t="s">
        <v>30</v>
      </c>
      <c r="C43" s="17" t="s">
        <v>29</v>
      </c>
      <c r="D43" s="22">
        <v>1</v>
      </c>
      <c r="E43" s="22">
        <v>1</v>
      </c>
      <c r="F43" s="23">
        <f>'BASE DE DATOS'!$D43/'BASE DE DATOS'!$E43</f>
        <v>1</v>
      </c>
      <c r="G43" s="36"/>
    </row>
    <row r="44" spans="1:7" x14ac:dyDescent="0.35">
      <c r="A44" s="34">
        <v>45382</v>
      </c>
      <c r="B44" s="12" t="s">
        <v>38</v>
      </c>
      <c r="C44" s="17" t="s">
        <v>21</v>
      </c>
      <c r="D44" s="22">
        <v>2</v>
      </c>
      <c r="E44" s="22">
        <v>2</v>
      </c>
      <c r="F44" s="23">
        <f>'BASE DE DATOS'!$D44/'BASE DE DATOS'!$E44</f>
        <v>1</v>
      </c>
      <c r="G44" s="37"/>
    </row>
    <row r="45" spans="1:7" x14ac:dyDescent="0.35">
      <c r="A45" s="34">
        <v>45382</v>
      </c>
      <c r="B45" s="12" t="s">
        <v>39</v>
      </c>
      <c r="C45" s="17" t="s">
        <v>21</v>
      </c>
      <c r="D45" s="22">
        <v>2</v>
      </c>
      <c r="E45" s="22">
        <v>2</v>
      </c>
      <c r="F45" s="23">
        <f>'BASE DE DATOS'!$D45/'BASE DE DATOS'!$E45</f>
        <v>1</v>
      </c>
      <c r="G45" s="36"/>
    </row>
    <row r="46" spans="1:7" x14ac:dyDescent="0.35">
      <c r="A46" s="34">
        <v>45382</v>
      </c>
      <c r="B46" s="12" t="s">
        <v>43</v>
      </c>
      <c r="C46" s="17" t="s">
        <v>21</v>
      </c>
      <c r="D46" s="22">
        <v>2</v>
      </c>
      <c r="E46" s="22">
        <v>2</v>
      </c>
      <c r="F46" s="23">
        <f>'BASE DE DATOS'!$D46/'BASE DE DATOS'!$E46</f>
        <v>1</v>
      </c>
      <c r="G46" s="37"/>
    </row>
    <row r="47" spans="1:7" x14ac:dyDescent="0.35">
      <c r="A47" s="34">
        <v>45382</v>
      </c>
      <c r="B47" s="12" t="s">
        <v>41</v>
      </c>
      <c r="C47" s="17" t="s">
        <v>21</v>
      </c>
      <c r="D47" s="22">
        <v>7</v>
      </c>
      <c r="E47" s="22">
        <v>2</v>
      </c>
      <c r="F47" s="23">
        <f>'BASE DE DATOS'!$D47/'BASE DE DATOS'!$E47</f>
        <v>3.5</v>
      </c>
      <c r="G47" s="36"/>
    </row>
    <row r="48" spans="1:7" x14ac:dyDescent="0.35">
      <c r="A48" s="34">
        <v>45382</v>
      </c>
      <c r="B48" s="12" t="s">
        <v>40</v>
      </c>
      <c r="C48" s="17" t="s">
        <v>21</v>
      </c>
      <c r="D48" s="22">
        <v>2</v>
      </c>
      <c r="E48" s="22">
        <v>2</v>
      </c>
      <c r="F48" s="23">
        <f>'BASE DE DATOS'!$D48/'BASE DE DATOS'!$E48</f>
        <v>1</v>
      </c>
      <c r="G48" s="37"/>
    </row>
    <row r="49" spans="1:7" x14ac:dyDescent="0.35">
      <c r="A49" s="34">
        <v>45382</v>
      </c>
      <c r="B49" s="12" t="s">
        <v>42</v>
      </c>
      <c r="C49" s="17" t="s">
        <v>21</v>
      </c>
      <c r="D49" s="22">
        <v>2</v>
      </c>
      <c r="E49" s="22">
        <v>2</v>
      </c>
      <c r="F49" s="23">
        <f>'BASE DE DATOS'!$D49/'BASE DE DATOS'!$E49</f>
        <v>1</v>
      </c>
      <c r="G49" s="36"/>
    </row>
    <row r="50" spans="1:7" x14ac:dyDescent="0.35">
      <c r="A50" s="34">
        <v>45382</v>
      </c>
      <c r="B50" s="12" t="s">
        <v>45</v>
      </c>
      <c r="C50" s="17" t="s">
        <v>21</v>
      </c>
      <c r="D50" s="22">
        <v>2</v>
      </c>
      <c r="E50" s="22">
        <v>2</v>
      </c>
      <c r="F50" s="23">
        <f>'BASE DE DATOS'!$D50/'BASE DE DATOS'!$E50</f>
        <v>1</v>
      </c>
      <c r="G50" s="37"/>
    </row>
    <row r="51" spans="1:7" x14ac:dyDescent="0.35">
      <c r="A51" s="34">
        <v>45382</v>
      </c>
      <c r="B51" s="12" t="s">
        <v>35</v>
      </c>
      <c r="C51" s="17" t="s">
        <v>21</v>
      </c>
      <c r="D51" s="22">
        <v>2</v>
      </c>
      <c r="E51" s="22">
        <v>2</v>
      </c>
      <c r="F51" s="23">
        <f>'BASE DE DATOS'!$D51/'BASE DE DATOS'!$E51</f>
        <v>1</v>
      </c>
      <c r="G51" s="36"/>
    </row>
    <row r="52" spans="1:7" x14ac:dyDescent="0.35">
      <c r="A52" s="34">
        <v>45382</v>
      </c>
      <c r="B52" s="12" t="s">
        <v>34</v>
      </c>
      <c r="C52" s="17" t="s">
        <v>21</v>
      </c>
      <c r="D52" s="22">
        <v>21</v>
      </c>
      <c r="E52" s="22">
        <v>2</v>
      </c>
      <c r="F52" s="23">
        <f>'BASE DE DATOS'!$D52/'BASE DE DATOS'!$E52</f>
        <v>10.5</v>
      </c>
      <c r="G52" s="37"/>
    </row>
    <row r="53" spans="1:7" x14ac:dyDescent="0.35">
      <c r="A53" s="34">
        <v>45412</v>
      </c>
      <c r="B53" s="16" t="s">
        <v>30</v>
      </c>
      <c r="C53" s="17" t="s">
        <v>16</v>
      </c>
      <c r="D53" s="22">
        <v>5</v>
      </c>
      <c r="E53" s="22">
        <v>4</v>
      </c>
      <c r="F53" s="23">
        <f>'BASE DE DATOS'!$D53/'BASE DE DATOS'!$E53</f>
        <v>1.25</v>
      </c>
      <c r="G53" s="37"/>
    </row>
    <row r="54" spans="1:7" x14ac:dyDescent="0.35">
      <c r="A54" s="34">
        <v>45412</v>
      </c>
      <c r="B54" s="16" t="s">
        <v>30</v>
      </c>
      <c r="C54" s="17" t="s">
        <v>6</v>
      </c>
      <c r="D54" s="22">
        <v>4</v>
      </c>
      <c r="E54" s="22">
        <v>6</v>
      </c>
      <c r="F54" s="23">
        <f>'BASE DE DATOS'!$D54/'BASE DE DATOS'!$E54</f>
        <v>0.66666666666666663</v>
      </c>
      <c r="G54" s="37"/>
    </row>
    <row r="55" spans="1:7" x14ac:dyDescent="0.35">
      <c r="A55" s="34">
        <v>45412</v>
      </c>
      <c r="B55" s="16" t="s">
        <v>30</v>
      </c>
      <c r="C55" s="17" t="s">
        <v>24</v>
      </c>
      <c r="D55" s="22">
        <v>1</v>
      </c>
      <c r="E55" s="22">
        <v>1</v>
      </c>
      <c r="F55" s="23">
        <f>'BASE DE DATOS'!$D55/'BASE DE DATOS'!$E55</f>
        <v>1</v>
      </c>
      <c r="G55" s="37"/>
    </row>
    <row r="56" spans="1:7" x14ac:dyDescent="0.35">
      <c r="A56" s="34">
        <v>45412</v>
      </c>
      <c r="B56" s="16" t="s">
        <v>30</v>
      </c>
      <c r="C56" s="17" t="s">
        <v>25</v>
      </c>
      <c r="D56" s="22">
        <v>1</v>
      </c>
      <c r="E56" s="22">
        <v>1</v>
      </c>
      <c r="F56" s="23">
        <f>'BASE DE DATOS'!$D56/'BASE DE DATOS'!$E56</f>
        <v>1</v>
      </c>
      <c r="G56" s="37"/>
    </row>
    <row r="57" spans="1:7" x14ac:dyDescent="0.35">
      <c r="A57" s="34">
        <v>45412</v>
      </c>
      <c r="B57" s="16" t="s">
        <v>30</v>
      </c>
      <c r="C57" s="17" t="s">
        <v>26</v>
      </c>
      <c r="D57" s="22">
        <v>1</v>
      </c>
      <c r="E57" s="22">
        <v>1</v>
      </c>
      <c r="F57" s="23">
        <f>'BASE DE DATOS'!$D57/'BASE DE DATOS'!$E57</f>
        <v>1</v>
      </c>
      <c r="G57" s="37"/>
    </row>
    <row r="58" spans="1:7" x14ac:dyDescent="0.35">
      <c r="A58" s="34">
        <v>45412</v>
      </c>
      <c r="B58" s="16" t="s">
        <v>30</v>
      </c>
      <c r="C58" s="17" t="s">
        <v>27</v>
      </c>
      <c r="D58" s="22">
        <v>1</v>
      </c>
      <c r="E58" s="22">
        <v>1</v>
      </c>
      <c r="F58" s="23">
        <f>'BASE DE DATOS'!$D58/'BASE DE DATOS'!$E58</f>
        <v>1</v>
      </c>
      <c r="G58" s="37"/>
    </row>
    <row r="59" spans="1:7" x14ac:dyDescent="0.35">
      <c r="A59" s="34">
        <v>45412</v>
      </c>
      <c r="B59" s="16" t="s">
        <v>30</v>
      </c>
      <c r="C59" s="17" t="s">
        <v>28</v>
      </c>
      <c r="D59" s="22">
        <v>1</v>
      </c>
      <c r="E59" s="22">
        <v>1</v>
      </c>
      <c r="F59" s="23">
        <f>'BASE DE DATOS'!$D59/'BASE DE DATOS'!$E59</f>
        <v>1</v>
      </c>
      <c r="G59" s="37"/>
    </row>
    <row r="60" spans="1:7" x14ac:dyDescent="0.35">
      <c r="A60" s="34">
        <v>45412</v>
      </c>
      <c r="B60" s="16" t="s">
        <v>30</v>
      </c>
      <c r="C60" s="17" t="s">
        <v>29</v>
      </c>
      <c r="D60" s="22">
        <v>1</v>
      </c>
      <c r="E60" s="22">
        <v>1</v>
      </c>
      <c r="F60" s="23">
        <f>'BASE DE DATOS'!$D60/'BASE DE DATOS'!$E60</f>
        <v>1</v>
      </c>
      <c r="G60" s="37"/>
    </row>
    <row r="61" spans="1:7" x14ac:dyDescent="0.35">
      <c r="A61" s="34">
        <v>45412</v>
      </c>
      <c r="B61" s="12" t="s">
        <v>38</v>
      </c>
      <c r="C61" s="17" t="s">
        <v>21</v>
      </c>
      <c r="D61" s="22">
        <v>1</v>
      </c>
      <c r="E61" s="22">
        <v>2</v>
      </c>
      <c r="F61" s="23">
        <f>'BASE DE DATOS'!$D61/'BASE DE DATOS'!$E61</f>
        <v>0.5</v>
      </c>
      <c r="G61" s="37"/>
    </row>
    <row r="62" spans="1:7" x14ac:dyDescent="0.35">
      <c r="A62" s="34">
        <v>45412</v>
      </c>
      <c r="B62" s="12" t="s">
        <v>39</v>
      </c>
      <c r="C62" s="17" t="s">
        <v>21</v>
      </c>
      <c r="D62" s="22">
        <v>1</v>
      </c>
      <c r="E62" s="22">
        <v>2</v>
      </c>
      <c r="F62" s="23">
        <f>'BASE DE DATOS'!$D62/'BASE DE DATOS'!$E62</f>
        <v>0.5</v>
      </c>
      <c r="G62" s="37"/>
    </row>
    <row r="63" spans="1:7" x14ac:dyDescent="0.35">
      <c r="A63" s="34">
        <v>45412</v>
      </c>
      <c r="B63" s="12" t="s">
        <v>43</v>
      </c>
      <c r="C63" s="17" t="s">
        <v>21</v>
      </c>
      <c r="D63" s="22">
        <v>1</v>
      </c>
      <c r="E63" s="22">
        <v>2</v>
      </c>
      <c r="F63" s="23">
        <f>'BASE DE DATOS'!$D63/'BASE DE DATOS'!$E63</f>
        <v>0.5</v>
      </c>
      <c r="G63" s="37"/>
    </row>
    <row r="64" spans="1:7" x14ac:dyDescent="0.35">
      <c r="A64" s="34">
        <v>45412</v>
      </c>
      <c r="B64" s="12" t="s">
        <v>41</v>
      </c>
      <c r="C64" s="17" t="s">
        <v>21</v>
      </c>
      <c r="D64" s="22">
        <v>1</v>
      </c>
      <c r="E64" s="22">
        <v>2</v>
      </c>
      <c r="F64" s="23">
        <f>'BASE DE DATOS'!$D64/'BASE DE DATOS'!$E64</f>
        <v>0.5</v>
      </c>
      <c r="G64" s="37"/>
    </row>
    <row r="65" spans="1:7" x14ac:dyDescent="0.35">
      <c r="A65" s="34">
        <v>45412</v>
      </c>
      <c r="B65" s="12" t="s">
        <v>40</v>
      </c>
      <c r="C65" s="17" t="s">
        <v>21</v>
      </c>
      <c r="D65" s="22">
        <v>1</v>
      </c>
      <c r="E65" s="22">
        <v>2</v>
      </c>
      <c r="F65" s="23">
        <f>'BASE DE DATOS'!$D65/'BASE DE DATOS'!$E65</f>
        <v>0.5</v>
      </c>
      <c r="G65" s="37"/>
    </row>
    <row r="66" spans="1:7" x14ac:dyDescent="0.35">
      <c r="A66" s="34">
        <v>45412</v>
      </c>
      <c r="B66" s="12" t="s">
        <v>42</v>
      </c>
      <c r="C66" s="17" t="s">
        <v>21</v>
      </c>
      <c r="D66" s="22">
        <v>1</v>
      </c>
      <c r="E66" s="22">
        <v>2</v>
      </c>
      <c r="F66" s="23">
        <f>'BASE DE DATOS'!$D66/'BASE DE DATOS'!$E66</f>
        <v>0.5</v>
      </c>
      <c r="G66" s="37"/>
    </row>
    <row r="67" spans="1:7" x14ac:dyDescent="0.35">
      <c r="A67" s="34">
        <v>45412</v>
      </c>
      <c r="B67" s="12" t="s">
        <v>45</v>
      </c>
      <c r="C67" s="17" t="s">
        <v>21</v>
      </c>
      <c r="D67" s="22">
        <v>1</v>
      </c>
      <c r="E67" s="22">
        <v>2</v>
      </c>
      <c r="F67" s="23">
        <f>'BASE DE DATOS'!$D67/'BASE DE DATOS'!$E67</f>
        <v>0.5</v>
      </c>
      <c r="G67" s="37"/>
    </row>
    <row r="68" spans="1:7" x14ac:dyDescent="0.35">
      <c r="A68" s="34">
        <v>45412</v>
      </c>
      <c r="B68" s="12" t="s">
        <v>35</v>
      </c>
      <c r="C68" s="17" t="s">
        <v>21</v>
      </c>
      <c r="D68" s="22">
        <v>1</v>
      </c>
      <c r="E68" s="22">
        <v>2</v>
      </c>
      <c r="F68" s="23">
        <f>'BASE DE DATOS'!$D68/'BASE DE DATOS'!$E68</f>
        <v>0.5</v>
      </c>
      <c r="G68" s="37"/>
    </row>
    <row r="69" spans="1:7" x14ac:dyDescent="0.35">
      <c r="A69" s="34">
        <v>45412</v>
      </c>
      <c r="B69" s="12" t="s">
        <v>34</v>
      </c>
      <c r="C69" s="17" t="s">
        <v>21</v>
      </c>
      <c r="D69" s="22">
        <v>1</v>
      </c>
      <c r="E69" s="22">
        <v>2</v>
      </c>
      <c r="F69" s="23">
        <f>'BASE DE DATOS'!$D69/'BASE DE DATOS'!$E69</f>
        <v>0.5</v>
      </c>
      <c r="G69" s="37"/>
    </row>
    <row r="70" spans="1:7" x14ac:dyDescent="0.35">
      <c r="A70" s="34">
        <v>45443</v>
      </c>
      <c r="B70" s="16" t="s">
        <v>30</v>
      </c>
      <c r="C70" s="17" t="s">
        <v>16</v>
      </c>
      <c r="D70" s="22">
        <v>5</v>
      </c>
      <c r="E70" s="22">
        <v>4</v>
      </c>
      <c r="F70" s="23">
        <f>'BASE DE DATOS'!$D70/'BASE DE DATOS'!$E70</f>
        <v>1.25</v>
      </c>
      <c r="G70" s="37"/>
    </row>
    <row r="71" spans="1:7" x14ac:dyDescent="0.35">
      <c r="A71" s="34">
        <v>45443</v>
      </c>
      <c r="B71" s="16" t="s">
        <v>30</v>
      </c>
      <c r="C71" s="17" t="s">
        <v>6</v>
      </c>
      <c r="D71" s="22">
        <v>0</v>
      </c>
      <c r="E71" s="22">
        <v>6</v>
      </c>
      <c r="F71" s="23">
        <f>'BASE DE DATOS'!$D71/'BASE DE DATOS'!$E71</f>
        <v>0</v>
      </c>
      <c r="G71" s="37"/>
    </row>
    <row r="72" spans="1:7" x14ac:dyDescent="0.35">
      <c r="A72" s="34">
        <v>45443</v>
      </c>
      <c r="B72" s="16" t="s">
        <v>30</v>
      </c>
      <c r="C72" s="17" t="s">
        <v>24</v>
      </c>
      <c r="D72" s="22">
        <v>1</v>
      </c>
      <c r="E72" s="22">
        <v>1</v>
      </c>
      <c r="F72" s="23">
        <f>'BASE DE DATOS'!$D72/'BASE DE DATOS'!$E72</f>
        <v>1</v>
      </c>
      <c r="G72" s="37"/>
    </row>
    <row r="73" spans="1:7" x14ac:dyDescent="0.35">
      <c r="A73" s="34">
        <v>45443</v>
      </c>
      <c r="B73" s="16" t="s">
        <v>30</v>
      </c>
      <c r="C73" s="17" t="s">
        <v>25</v>
      </c>
      <c r="D73" s="22">
        <v>1</v>
      </c>
      <c r="E73" s="22">
        <v>1</v>
      </c>
      <c r="F73" s="23">
        <f>'BASE DE DATOS'!$D73/'BASE DE DATOS'!$E73</f>
        <v>1</v>
      </c>
      <c r="G73" s="37"/>
    </row>
    <row r="74" spans="1:7" x14ac:dyDescent="0.35">
      <c r="A74" s="34">
        <v>45443</v>
      </c>
      <c r="B74" s="16" t="s">
        <v>30</v>
      </c>
      <c r="C74" s="17" t="s">
        <v>26</v>
      </c>
      <c r="D74" s="22">
        <v>1</v>
      </c>
      <c r="E74" s="22">
        <v>1</v>
      </c>
      <c r="F74" s="23">
        <f>'BASE DE DATOS'!$D74/'BASE DE DATOS'!$E74</f>
        <v>1</v>
      </c>
      <c r="G74" s="37"/>
    </row>
    <row r="75" spans="1:7" x14ac:dyDescent="0.35">
      <c r="A75" s="34">
        <v>45443</v>
      </c>
      <c r="B75" s="16" t="s">
        <v>30</v>
      </c>
      <c r="C75" s="17" t="s">
        <v>27</v>
      </c>
      <c r="D75" s="22">
        <v>1</v>
      </c>
      <c r="E75" s="22">
        <v>1</v>
      </c>
      <c r="F75" s="23">
        <f>'BASE DE DATOS'!$D75/'BASE DE DATOS'!$E75</f>
        <v>1</v>
      </c>
      <c r="G75" s="37"/>
    </row>
    <row r="76" spans="1:7" x14ac:dyDescent="0.35">
      <c r="A76" s="34">
        <v>45443</v>
      </c>
      <c r="B76" s="16" t="s">
        <v>30</v>
      </c>
      <c r="C76" s="17" t="s">
        <v>28</v>
      </c>
      <c r="D76" s="22">
        <v>1</v>
      </c>
      <c r="E76" s="22">
        <v>1</v>
      </c>
      <c r="F76" s="23">
        <f>'BASE DE DATOS'!$D76/'BASE DE DATOS'!$E76</f>
        <v>1</v>
      </c>
      <c r="G76" s="37"/>
    </row>
    <row r="77" spans="1:7" x14ac:dyDescent="0.35">
      <c r="A77" s="34">
        <v>45443</v>
      </c>
      <c r="B77" s="16" t="s">
        <v>30</v>
      </c>
      <c r="C77" s="17" t="s">
        <v>29</v>
      </c>
      <c r="D77" s="22">
        <v>1</v>
      </c>
      <c r="E77" s="22">
        <v>1</v>
      </c>
      <c r="F77" s="23">
        <f>'BASE DE DATOS'!$D77/'BASE DE DATOS'!$E77</f>
        <v>1</v>
      </c>
      <c r="G77" s="37"/>
    </row>
    <row r="78" spans="1:7" x14ac:dyDescent="0.35">
      <c r="A78" s="34">
        <v>45443</v>
      </c>
      <c r="B78" s="12" t="s">
        <v>38</v>
      </c>
      <c r="C78" s="17" t="s">
        <v>21</v>
      </c>
      <c r="D78" s="22">
        <v>4</v>
      </c>
      <c r="E78" s="22">
        <v>2</v>
      </c>
      <c r="F78" s="23">
        <f>'BASE DE DATOS'!$D78/'BASE DE DATOS'!$E78</f>
        <v>2</v>
      </c>
      <c r="G78" s="37"/>
    </row>
    <row r="79" spans="1:7" x14ac:dyDescent="0.35">
      <c r="A79" s="34">
        <v>45443</v>
      </c>
      <c r="B79" s="12" t="s">
        <v>39</v>
      </c>
      <c r="C79" s="17" t="s">
        <v>21</v>
      </c>
      <c r="D79" s="22">
        <v>2</v>
      </c>
      <c r="E79" s="22">
        <v>2</v>
      </c>
      <c r="F79" s="23">
        <f>'BASE DE DATOS'!$D79/'BASE DE DATOS'!$E79</f>
        <v>1</v>
      </c>
      <c r="G79" s="37"/>
    </row>
    <row r="80" spans="1:7" x14ac:dyDescent="0.35">
      <c r="A80" s="34">
        <v>45443</v>
      </c>
      <c r="B80" s="12" t="s">
        <v>43</v>
      </c>
      <c r="C80" s="17" t="s">
        <v>21</v>
      </c>
      <c r="D80" s="22">
        <v>2</v>
      </c>
      <c r="E80" s="22">
        <v>2</v>
      </c>
      <c r="F80" s="23">
        <f>'BASE DE DATOS'!$D80/'BASE DE DATOS'!$E80</f>
        <v>1</v>
      </c>
      <c r="G80" s="37"/>
    </row>
    <row r="81" spans="1:7" x14ac:dyDescent="0.35">
      <c r="A81" s="34">
        <v>45443</v>
      </c>
      <c r="B81" s="12" t="s">
        <v>41</v>
      </c>
      <c r="C81" s="17" t="s">
        <v>21</v>
      </c>
      <c r="D81" s="22">
        <v>2</v>
      </c>
      <c r="E81" s="22">
        <v>2</v>
      </c>
      <c r="F81" s="23">
        <f>'BASE DE DATOS'!$D81/'BASE DE DATOS'!$E81</f>
        <v>1</v>
      </c>
      <c r="G81" s="37"/>
    </row>
    <row r="82" spans="1:7" x14ac:dyDescent="0.35">
      <c r="A82" s="34">
        <v>45443</v>
      </c>
      <c r="B82" s="12" t="s">
        <v>40</v>
      </c>
      <c r="C82" s="17" t="s">
        <v>21</v>
      </c>
      <c r="D82" s="22">
        <v>2</v>
      </c>
      <c r="E82" s="22">
        <v>2</v>
      </c>
      <c r="F82" s="23">
        <f>'BASE DE DATOS'!$D82/'BASE DE DATOS'!$E82</f>
        <v>1</v>
      </c>
      <c r="G82" s="37"/>
    </row>
    <row r="83" spans="1:7" x14ac:dyDescent="0.35">
      <c r="A83" s="34">
        <v>45443</v>
      </c>
      <c r="B83" s="12" t="s">
        <v>42</v>
      </c>
      <c r="C83" s="17" t="s">
        <v>21</v>
      </c>
      <c r="D83" s="22">
        <v>2</v>
      </c>
      <c r="E83" s="22">
        <v>2</v>
      </c>
      <c r="F83" s="23">
        <f>'BASE DE DATOS'!$D83/'BASE DE DATOS'!$E83</f>
        <v>1</v>
      </c>
      <c r="G83" s="37"/>
    </row>
    <row r="84" spans="1:7" x14ac:dyDescent="0.35">
      <c r="A84" s="34">
        <v>45443</v>
      </c>
      <c r="B84" s="12" t="s">
        <v>35</v>
      </c>
      <c r="C84" s="17" t="s">
        <v>21</v>
      </c>
      <c r="D84" s="22">
        <v>2</v>
      </c>
      <c r="E84" s="22">
        <v>2</v>
      </c>
      <c r="F84" s="23">
        <f>'BASE DE DATOS'!$D84/'BASE DE DATOS'!$E84</f>
        <v>1</v>
      </c>
      <c r="G84" s="37"/>
    </row>
    <row r="85" spans="1:7" x14ac:dyDescent="0.35">
      <c r="A85" s="34">
        <v>45443</v>
      </c>
      <c r="B85" s="16" t="s">
        <v>36</v>
      </c>
      <c r="C85" s="17" t="s">
        <v>21</v>
      </c>
      <c r="D85" s="22">
        <v>3</v>
      </c>
      <c r="E85" s="22">
        <v>2</v>
      </c>
      <c r="F85" s="23">
        <f>'BASE DE DATOS'!$D85/'BASE DE DATOS'!$E85</f>
        <v>1.5</v>
      </c>
      <c r="G85" s="37"/>
    </row>
    <row r="86" spans="1:7" x14ac:dyDescent="0.35">
      <c r="A86" s="34">
        <v>45473</v>
      </c>
      <c r="B86" s="16" t="s">
        <v>30</v>
      </c>
      <c r="C86" s="17" t="s">
        <v>16</v>
      </c>
      <c r="D86" s="22">
        <v>7</v>
      </c>
      <c r="E86" s="22">
        <v>4</v>
      </c>
      <c r="F86" s="23">
        <f>'BASE DE DATOS'!$D86/'BASE DE DATOS'!$E86</f>
        <v>1.75</v>
      </c>
      <c r="G86" s="37"/>
    </row>
    <row r="87" spans="1:7" x14ac:dyDescent="0.35">
      <c r="A87" s="34">
        <v>45473</v>
      </c>
      <c r="B87" s="16" t="s">
        <v>30</v>
      </c>
      <c r="C87" s="17" t="s">
        <v>6</v>
      </c>
      <c r="D87" s="22">
        <v>5</v>
      </c>
      <c r="E87" s="22">
        <v>3</v>
      </c>
      <c r="F87" s="23">
        <f>'BASE DE DATOS'!$D87/'BASE DE DATOS'!$E87</f>
        <v>1.6666666666666667</v>
      </c>
      <c r="G87" s="37"/>
    </row>
    <row r="88" spans="1:7" x14ac:dyDescent="0.35">
      <c r="A88" s="34">
        <v>45473</v>
      </c>
      <c r="B88" s="16" t="s">
        <v>30</v>
      </c>
      <c r="C88" s="17" t="s">
        <v>24</v>
      </c>
      <c r="D88" s="22">
        <v>1</v>
      </c>
      <c r="E88" s="22">
        <v>1</v>
      </c>
      <c r="F88" s="23">
        <f>'BASE DE DATOS'!$D88/'BASE DE DATOS'!$E88</f>
        <v>1</v>
      </c>
      <c r="G88" s="37"/>
    </row>
    <row r="89" spans="1:7" x14ac:dyDescent="0.35">
      <c r="A89" s="34">
        <v>45473</v>
      </c>
      <c r="B89" s="16" t="s">
        <v>30</v>
      </c>
      <c r="C89" s="17" t="s">
        <v>25</v>
      </c>
      <c r="D89" s="22">
        <v>1</v>
      </c>
      <c r="E89" s="22">
        <v>1</v>
      </c>
      <c r="F89" s="23">
        <f>'BASE DE DATOS'!$D89/'BASE DE DATOS'!$E89</f>
        <v>1</v>
      </c>
      <c r="G89" s="37"/>
    </row>
    <row r="90" spans="1:7" x14ac:dyDescent="0.35">
      <c r="A90" s="34">
        <v>45473</v>
      </c>
      <c r="B90" s="16" t="s">
        <v>30</v>
      </c>
      <c r="C90" s="17" t="s">
        <v>26</v>
      </c>
      <c r="D90" s="22">
        <v>1</v>
      </c>
      <c r="E90" s="22">
        <v>1</v>
      </c>
      <c r="F90" s="23">
        <f>'BASE DE DATOS'!$D90/'BASE DE DATOS'!$E90</f>
        <v>1</v>
      </c>
      <c r="G90" s="37"/>
    </row>
    <row r="91" spans="1:7" x14ac:dyDescent="0.35">
      <c r="A91" s="34">
        <v>45473</v>
      </c>
      <c r="B91" s="16" t="s">
        <v>30</v>
      </c>
      <c r="C91" s="17" t="s">
        <v>27</v>
      </c>
      <c r="D91" s="22">
        <v>1</v>
      </c>
      <c r="E91" s="22">
        <v>1</v>
      </c>
      <c r="F91" s="23">
        <f>'BASE DE DATOS'!$D91/'BASE DE DATOS'!$E91</f>
        <v>1</v>
      </c>
      <c r="G91" s="37"/>
    </row>
    <row r="92" spans="1:7" x14ac:dyDescent="0.35">
      <c r="A92" s="34">
        <v>45473</v>
      </c>
      <c r="B92" s="16" t="s">
        <v>30</v>
      </c>
      <c r="C92" s="17" t="s">
        <v>28</v>
      </c>
      <c r="D92" s="22">
        <v>1</v>
      </c>
      <c r="E92" s="22">
        <v>1</v>
      </c>
      <c r="F92" s="23">
        <f>'BASE DE DATOS'!$D92/'BASE DE DATOS'!$E92</f>
        <v>1</v>
      </c>
      <c r="G92" s="37"/>
    </row>
    <row r="93" spans="1:7" x14ac:dyDescent="0.35">
      <c r="A93" s="34">
        <v>45473</v>
      </c>
      <c r="B93" s="16" t="s">
        <v>30</v>
      </c>
      <c r="C93" s="17" t="s">
        <v>29</v>
      </c>
      <c r="D93" s="22">
        <v>1</v>
      </c>
      <c r="E93" s="22">
        <v>1</v>
      </c>
      <c r="F93" s="23">
        <f>'BASE DE DATOS'!$D93/'BASE DE DATOS'!$E93</f>
        <v>1</v>
      </c>
      <c r="G93" s="37"/>
    </row>
    <row r="94" spans="1:7" x14ac:dyDescent="0.35">
      <c r="A94" s="34">
        <v>45473</v>
      </c>
      <c r="B94" s="12" t="s">
        <v>38</v>
      </c>
      <c r="C94" s="17" t="s">
        <v>21</v>
      </c>
      <c r="D94" s="22">
        <v>3</v>
      </c>
      <c r="E94" s="22">
        <v>2</v>
      </c>
      <c r="F94" s="23">
        <f>'BASE DE DATOS'!$D94/'BASE DE DATOS'!$E94</f>
        <v>1.5</v>
      </c>
      <c r="G94" s="37"/>
    </row>
    <row r="95" spans="1:7" x14ac:dyDescent="0.35">
      <c r="A95" s="34">
        <v>45473</v>
      </c>
      <c r="B95" s="12" t="s">
        <v>39</v>
      </c>
      <c r="C95" s="17" t="s">
        <v>21</v>
      </c>
      <c r="D95" s="22">
        <v>2</v>
      </c>
      <c r="E95" s="22">
        <v>2</v>
      </c>
      <c r="F95" s="23">
        <f>'BASE DE DATOS'!$D95/'BASE DE DATOS'!$E95</f>
        <v>1</v>
      </c>
      <c r="G95" s="37"/>
    </row>
    <row r="96" spans="1:7" x14ac:dyDescent="0.35">
      <c r="A96" s="34">
        <v>45473</v>
      </c>
      <c r="B96" s="12" t="s">
        <v>43</v>
      </c>
      <c r="C96" s="17" t="s">
        <v>21</v>
      </c>
      <c r="D96" s="22">
        <v>2</v>
      </c>
      <c r="E96" s="22">
        <v>2</v>
      </c>
      <c r="F96" s="23">
        <f>'BASE DE DATOS'!$D96/'BASE DE DATOS'!$E96</f>
        <v>1</v>
      </c>
      <c r="G96" s="37"/>
    </row>
    <row r="97" spans="1:7" x14ac:dyDescent="0.35">
      <c r="A97" s="34">
        <v>45473</v>
      </c>
      <c r="B97" s="12" t="s">
        <v>41</v>
      </c>
      <c r="C97" s="17" t="s">
        <v>21</v>
      </c>
      <c r="D97" s="22">
        <v>2</v>
      </c>
      <c r="E97" s="22">
        <v>2</v>
      </c>
      <c r="F97" s="23">
        <f>'BASE DE DATOS'!$D97/'BASE DE DATOS'!$E97</f>
        <v>1</v>
      </c>
      <c r="G97" s="37"/>
    </row>
    <row r="98" spans="1:7" x14ac:dyDescent="0.35">
      <c r="A98" s="34">
        <v>45473</v>
      </c>
      <c r="B98" s="12" t="s">
        <v>40</v>
      </c>
      <c r="C98" s="17" t="s">
        <v>21</v>
      </c>
      <c r="D98" s="22">
        <v>2</v>
      </c>
      <c r="E98" s="22">
        <v>2</v>
      </c>
      <c r="F98" s="23">
        <f>'BASE DE DATOS'!$D98/'BASE DE DATOS'!$E98</f>
        <v>1</v>
      </c>
      <c r="G98" s="37"/>
    </row>
    <row r="99" spans="1:7" x14ac:dyDescent="0.35">
      <c r="A99" s="34">
        <v>45473</v>
      </c>
      <c r="B99" s="12" t="s">
        <v>42</v>
      </c>
      <c r="C99" s="17" t="s">
        <v>21</v>
      </c>
      <c r="D99" s="22">
        <v>2</v>
      </c>
      <c r="E99" s="22">
        <v>2</v>
      </c>
      <c r="F99" s="23">
        <f>'BASE DE DATOS'!$D99/'BASE DE DATOS'!$E99</f>
        <v>1</v>
      </c>
      <c r="G99" s="37"/>
    </row>
    <row r="100" spans="1:7" x14ac:dyDescent="0.35">
      <c r="A100" s="34">
        <v>45473</v>
      </c>
      <c r="B100" s="12" t="s">
        <v>35</v>
      </c>
      <c r="C100" s="17" t="s">
        <v>21</v>
      </c>
      <c r="D100" s="22">
        <v>2</v>
      </c>
      <c r="E100" s="22">
        <v>2</v>
      </c>
      <c r="F100" s="23">
        <f>'BASE DE DATOS'!$D100/'BASE DE DATOS'!$E100</f>
        <v>1</v>
      </c>
      <c r="G100" s="37"/>
    </row>
    <row r="101" spans="1:7" x14ac:dyDescent="0.35">
      <c r="A101" s="34">
        <v>45473</v>
      </c>
      <c r="B101" s="16" t="s">
        <v>36</v>
      </c>
      <c r="C101" s="17" t="s">
        <v>21</v>
      </c>
      <c r="D101" s="22">
        <v>0</v>
      </c>
      <c r="E101" s="22">
        <v>0</v>
      </c>
      <c r="F101" s="23" t="e">
        <f>'BASE DE DATOS'!$D101/'BASE DE DATOS'!$E101</f>
        <v>#DIV/0!</v>
      </c>
      <c r="G101" s="37" t="s">
        <v>37</v>
      </c>
    </row>
    <row r="102" spans="1:7" x14ac:dyDescent="0.35">
      <c r="A102" s="34">
        <v>45473</v>
      </c>
      <c r="B102" s="12" t="s">
        <v>45</v>
      </c>
      <c r="C102" s="17" t="s">
        <v>21</v>
      </c>
      <c r="D102" s="22">
        <v>2</v>
      </c>
      <c r="E102" s="22">
        <v>2</v>
      </c>
      <c r="F102" s="23">
        <f>'BASE DE DATOS'!$D102/'BASE DE DATOS'!$E102</f>
        <v>1</v>
      </c>
      <c r="G102" s="37"/>
    </row>
    <row r="103" spans="1:7" x14ac:dyDescent="0.35">
      <c r="A103" s="34">
        <v>45473</v>
      </c>
      <c r="B103" s="12" t="s">
        <v>34</v>
      </c>
      <c r="C103" s="17" t="s">
        <v>21</v>
      </c>
      <c r="D103" s="22">
        <v>3</v>
      </c>
      <c r="E103" s="22">
        <v>2</v>
      </c>
      <c r="F103" s="23">
        <f>'BASE DE DATOS'!$D103/'BASE DE DATOS'!$E103</f>
        <v>1.5</v>
      </c>
      <c r="G103" s="37"/>
    </row>
    <row r="104" spans="1:7" x14ac:dyDescent="0.35">
      <c r="A104" s="34">
        <v>45504</v>
      </c>
      <c r="B104" s="16" t="s">
        <v>30</v>
      </c>
      <c r="C104" s="17" t="s">
        <v>16</v>
      </c>
      <c r="D104" s="22">
        <v>5</v>
      </c>
      <c r="E104" s="22">
        <v>4</v>
      </c>
      <c r="F104" s="23">
        <f>'BASE DE DATOS'!$D104/'BASE DE DATOS'!$E104</f>
        <v>1.25</v>
      </c>
      <c r="G104" s="37"/>
    </row>
    <row r="105" spans="1:7" x14ac:dyDescent="0.35">
      <c r="A105" s="34">
        <v>45504</v>
      </c>
      <c r="B105" s="16" t="s">
        <v>30</v>
      </c>
      <c r="C105" s="17" t="s">
        <v>6</v>
      </c>
      <c r="D105" s="22">
        <v>3</v>
      </c>
      <c r="E105" s="22">
        <v>6</v>
      </c>
      <c r="F105" s="23">
        <f>'BASE DE DATOS'!$D105/'BASE DE DATOS'!$E105</f>
        <v>0.5</v>
      </c>
      <c r="G105" s="37"/>
    </row>
    <row r="106" spans="1:7" x14ac:dyDescent="0.35">
      <c r="A106" s="34">
        <v>45504</v>
      </c>
      <c r="B106" s="16" t="s">
        <v>30</v>
      </c>
      <c r="C106" s="17" t="s">
        <v>24</v>
      </c>
      <c r="D106" s="22">
        <v>1</v>
      </c>
      <c r="E106" s="22">
        <v>1</v>
      </c>
      <c r="F106" s="23">
        <f>'BASE DE DATOS'!$D106/'BASE DE DATOS'!$E106</f>
        <v>1</v>
      </c>
      <c r="G106" s="37"/>
    </row>
    <row r="107" spans="1:7" x14ac:dyDescent="0.35">
      <c r="A107" s="34">
        <v>45504</v>
      </c>
      <c r="B107" s="16" t="s">
        <v>30</v>
      </c>
      <c r="C107" s="17" t="s">
        <v>25</v>
      </c>
      <c r="D107" s="22">
        <v>1</v>
      </c>
      <c r="E107" s="22">
        <v>1</v>
      </c>
      <c r="F107" s="23">
        <f>'BASE DE DATOS'!$D107/'BASE DE DATOS'!$E107</f>
        <v>1</v>
      </c>
      <c r="G107" s="37"/>
    </row>
    <row r="108" spans="1:7" x14ac:dyDescent="0.35">
      <c r="A108" s="34">
        <v>45504</v>
      </c>
      <c r="B108" s="16" t="s">
        <v>30</v>
      </c>
      <c r="C108" s="17" t="s">
        <v>26</v>
      </c>
      <c r="D108" s="22">
        <v>1</v>
      </c>
      <c r="E108" s="22">
        <v>1</v>
      </c>
      <c r="F108" s="23">
        <f>'BASE DE DATOS'!$D108/'BASE DE DATOS'!$E108</f>
        <v>1</v>
      </c>
      <c r="G108" s="37"/>
    </row>
    <row r="109" spans="1:7" x14ac:dyDescent="0.35">
      <c r="A109" s="34">
        <v>45504</v>
      </c>
      <c r="B109" s="16" t="s">
        <v>30</v>
      </c>
      <c r="C109" s="17" t="s">
        <v>27</v>
      </c>
      <c r="D109" s="22">
        <v>1</v>
      </c>
      <c r="E109" s="22">
        <v>1</v>
      </c>
      <c r="F109" s="23">
        <f>'BASE DE DATOS'!$D109/'BASE DE DATOS'!$E109</f>
        <v>1</v>
      </c>
      <c r="G109" s="37"/>
    </row>
    <row r="110" spans="1:7" x14ac:dyDescent="0.35">
      <c r="A110" s="34">
        <v>45504</v>
      </c>
      <c r="B110" s="16" t="s">
        <v>30</v>
      </c>
      <c r="C110" s="17" t="s">
        <v>28</v>
      </c>
      <c r="D110" s="22">
        <v>1</v>
      </c>
      <c r="E110" s="22">
        <v>1</v>
      </c>
      <c r="F110" s="23">
        <f>'BASE DE DATOS'!$D110/'BASE DE DATOS'!$E110</f>
        <v>1</v>
      </c>
      <c r="G110" s="37"/>
    </row>
    <row r="111" spans="1:7" x14ac:dyDescent="0.35">
      <c r="A111" s="34">
        <v>45504</v>
      </c>
      <c r="B111" s="16" t="s">
        <v>30</v>
      </c>
      <c r="C111" s="17" t="s">
        <v>29</v>
      </c>
      <c r="D111" s="22">
        <v>1</v>
      </c>
      <c r="E111" s="22">
        <v>1</v>
      </c>
      <c r="F111" s="23">
        <f>'BASE DE DATOS'!$D111/'BASE DE DATOS'!$E111</f>
        <v>1</v>
      </c>
      <c r="G111" s="37"/>
    </row>
    <row r="112" spans="1:7" x14ac:dyDescent="0.35">
      <c r="A112" s="34">
        <v>45504</v>
      </c>
      <c r="B112" s="12" t="s">
        <v>38</v>
      </c>
      <c r="C112" s="17" t="s">
        <v>21</v>
      </c>
      <c r="D112" s="22">
        <v>2</v>
      </c>
      <c r="E112" s="22">
        <v>2</v>
      </c>
      <c r="F112" s="23">
        <f>'BASE DE DATOS'!$D112/'BASE DE DATOS'!$E112</f>
        <v>1</v>
      </c>
      <c r="G112" s="37"/>
    </row>
    <row r="113" spans="1:7" x14ac:dyDescent="0.35">
      <c r="A113" s="34">
        <v>45504</v>
      </c>
      <c r="B113" s="12" t="s">
        <v>39</v>
      </c>
      <c r="C113" s="17" t="s">
        <v>21</v>
      </c>
      <c r="D113" s="22">
        <v>2</v>
      </c>
      <c r="E113" s="22">
        <v>2</v>
      </c>
      <c r="F113" s="23">
        <f>'BASE DE DATOS'!$D113/'BASE DE DATOS'!$E113</f>
        <v>1</v>
      </c>
      <c r="G113" s="37"/>
    </row>
    <row r="114" spans="1:7" x14ac:dyDescent="0.35">
      <c r="A114" s="34">
        <v>45504</v>
      </c>
      <c r="B114" s="12" t="s">
        <v>43</v>
      </c>
      <c r="C114" s="17" t="s">
        <v>21</v>
      </c>
      <c r="D114" s="22">
        <v>2</v>
      </c>
      <c r="E114" s="22">
        <v>2</v>
      </c>
      <c r="F114" s="23">
        <f>'BASE DE DATOS'!$D114/'BASE DE DATOS'!$E114</f>
        <v>1</v>
      </c>
      <c r="G114" s="37"/>
    </row>
    <row r="115" spans="1:7" x14ac:dyDescent="0.35">
      <c r="A115" s="34">
        <v>45504</v>
      </c>
      <c r="B115" s="12" t="s">
        <v>41</v>
      </c>
      <c r="C115" s="17" t="s">
        <v>21</v>
      </c>
      <c r="D115" s="22">
        <v>2</v>
      </c>
      <c r="E115" s="22">
        <v>2</v>
      </c>
      <c r="F115" s="23">
        <f>'BASE DE DATOS'!$D115/'BASE DE DATOS'!$E115</f>
        <v>1</v>
      </c>
      <c r="G115" s="37"/>
    </row>
    <row r="116" spans="1:7" x14ac:dyDescent="0.35">
      <c r="A116" s="34">
        <v>45504</v>
      </c>
      <c r="B116" s="12" t="s">
        <v>40</v>
      </c>
      <c r="C116" s="17" t="s">
        <v>21</v>
      </c>
      <c r="D116" s="22">
        <v>3</v>
      </c>
      <c r="E116" s="22">
        <v>2</v>
      </c>
      <c r="F116" s="23">
        <f>'BASE DE DATOS'!$D116/'BASE DE DATOS'!$E116</f>
        <v>1.5</v>
      </c>
      <c r="G116" s="37"/>
    </row>
    <row r="117" spans="1:7" x14ac:dyDescent="0.35">
      <c r="A117" s="34">
        <v>45504</v>
      </c>
      <c r="B117" s="12" t="s">
        <v>42</v>
      </c>
      <c r="C117" s="17" t="s">
        <v>21</v>
      </c>
      <c r="D117" s="22">
        <v>2</v>
      </c>
      <c r="E117" s="22">
        <v>2</v>
      </c>
      <c r="F117" s="23">
        <f>'BASE DE DATOS'!$D117/'BASE DE DATOS'!$E117</f>
        <v>1</v>
      </c>
      <c r="G117" s="37"/>
    </row>
    <row r="118" spans="1:7" x14ac:dyDescent="0.35">
      <c r="A118" s="34">
        <v>45504</v>
      </c>
      <c r="B118" s="12" t="s">
        <v>35</v>
      </c>
      <c r="C118" s="17" t="s">
        <v>21</v>
      </c>
      <c r="D118" s="22">
        <v>2</v>
      </c>
      <c r="E118" s="22">
        <v>2</v>
      </c>
      <c r="F118" s="23">
        <f>'BASE DE DATOS'!$D118/'BASE DE DATOS'!$E118</f>
        <v>1</v>
      </c>
      <c r="G118" s="37"/>
    </row>
    <row r="119" spans="1:7" x14ac:dyDescent="0.35">
      <c r="A119" s="34">
        <v>45504</v>
      </c>
      <c r="B119" s="16" t="s">
        <v>36</v>
      </c>
      <c r="C119" s="17" t="s">
        <v>21</v>
      </c>
      <c r="D119" s="22">
        <v>2</v>
      </c>
      <c r="E119" s="22">
        <v>2</v>
      </c>
      <c r="F119" s="23">
        <f>'BASE DE DATOS'!$D119/'BASE DE DATOS'!$E119</f>
        <v>1</v>
      </c>
      <c r="G119" s="37"/>
    </row>
    <row r="120" spans="1:7" x14ac:dyDescent="0.35">
      <c r="A120" s="34">
        <v>45504</v>
      </c>
      <c r="B120" s="12" t="s">
        <v>45</v>
      </c>
      <c r="C120" s="17" t="s">
        <v>21</v>
      </c>
      <c r="D120" s="22">
        <v>2</v>
      </c>
      <c r="E120" s="22">
        <v>2</v>
      </c>
      <c r="F120" s="23">
        <f>'BASE DE DATOS'!$D120/'BASE DE DATOS'!$E120</f>
        <v>1</v>
      </c>
      <c r="G120" s="37"/>
    </row>
    <row r="121" spans="1:7" x14ac:dyDescent="0.35">
      <c r="A121" s="34">
        <v>45504</v>
      </c>
      <c r="B121" s="12" t="s">
        <v>34</v>
      </c>
      <c r="C121" s="17" t="s">
        <v>21</v>
      </c>
      <c r="D121" s="22">
        <v>3</v>
      </c>
      <c r="E121" s="22">
        <v>2</v>
      </c>
      <c r="F121" s="23">
        <f>'BASE DE DATOS'!$D121/'BASE DE DATOS'!$E121</f>
        <v>1.5</v>
      </c>
      <c r="G121" s="37"/>
    </row>
    <row r="122" spans="1:7" x14ac:dyDescent="0.35">
      <c r="A122" s="34">
        <v>45535</v>
      </c>
      <c r="B122" s="16" t="s">
        <v>30</v>
      </c>
      <c r="C122" s="17" t="s">
        <v>16</v>
      </c>
      <c r="D122" s="22">
        <v>11</v>
      </c>
      <c r="E122" s="22">
        <v>4</v>
      </c>
      <c r="F122" s="23">
        <f>'BASE DE DATOS'!$D122/'BASE DE DATOS'!$E122</f>
        <v>2.75</v>
      </c>
      <c r="G122" s="37"/>
    </row>
    <row r="123" spans="1:7" x14ac:dyDescent="0.35">
      <c r="A123" s="34">
        <v>45535</v>
      </c>
      <c r="B123" s="16" t="s">
        <v>30</v>
      </c>
      <c r="C123" s="17" t="s">
        <v>6</v>
      </c>
      <c r="D123" s="22">
        <v>6</v>
      </c>
      <c r="E123" s="22">
        <v>6</v>
      </c>
      <c r="F123" s="23">
        <f>'BASE DE DATOS'!$D123/'BASE DE DATOS'!$E123</f>
        <v>1</v>
      </c>
      <c r="G123" s="37"/>
    </row>
    <row r="124" spans="1:7" x14ac:dyDescent="0.35">
      <c r="A124" s="34">
        <v>45535</v>
      </c>
      <c r="B124" s="16" t="s">
        <v>30</v>
      </c>
      <c r="C124" s="17" t="s">
        <v>24</v>
      </c>
      <c r="D124" s="22">
        <v>1</v>
      </c>
      <c r="E124" s="22">
        <v>1</v>
      </c>
      <c r="F124" s="23">
        <f>'BASE DE DATOS'!$D124/'BASE DE DATOS'!$E124</f>
        <v>1</v>
      </c>
      <c r="G124" s="37"/>
    </row>
    <row r="125" spans="1:7" x14ac:dyDescent="0.35">
      <c r="A125" s="34">
        <v>45535</v>
      </c>
      <c r="B125" s="16" t="s">
        <v>30</v>
      </c>
      <c r="C125" s="17" t="s">
        <v>25</v>
      </c>
      <c r="D125" s="22">
        <v>1</v>
      </c>
      <c r="E125" s="22">
        <v>1</v>
      </c>
      <c r="F125" s="23">
        <f>'BASE DE DATOS'!$D125/'BASE DE DATOS'!$E125</f>
        <v>1</v>
      </c>
      <c r="G125" s="37"/>
    </row>
    <row r="126" spans="1:7" x14ac:dyDescent="0.35">
      <c r="A126" s="34">
        <v>45535</v>
      </c>
      <c r="B126" s="16" t="s">
        <v>30</v>
      </c>
      <c r="C126" s="17" t="s">
        <v>26</v>
      </c>
      <c r="D126" s="22">
        <v>1</v>
      </c>
      <c r="E126" s="22">
        <v>1</v>
      </c>
      <c r="F126" s="23">
        <f>'BASE DE DATOS'!$D126/'BASE DE DATOS'!$E126</f>
        <v>1</v>
      </c>
      <c r="G126" s="37"/>
    </row>
    <row r="127" spans="1:7" x14ac:dyDescent="0.35">
      <c r="A127" s="34">
        <v>45535</v>
      </c>
      <c r="B127" s="16" t="s">
        <v>30</v>
      </c>
      <c r="C127" s="17" t="s">
        <v>27</v>
      </c>
      <c r="D127" s="22">
        <v>1</v>
      </c>
      <c r="E127" s="22">
        <v>1</v>
      </c>
      <c r="F127" s="23">
        <f>'BASE DE DATOS'!$D127/'BASE DE DATOS'!$E127</f>
        <v>1</v>
      </c>
      <c r="G127" s="37"/>
    </row>
    <row r="128" spans="1:7" x14ac:dyDescent="0.35">
      <c r="A128" s="34">
        <v>45535</v>
      </c>
      <c r="B128" s="16" t="s">
        <v>30</v>
      </c>
      <c r="C128" s="17" t="s">
        <v>28</v>
      </c>
      <c r="D128" s="22">
        <v>1</v>
      </c>
      <c r="E128" s="22">
        <v>1</v>
      </c>
      <c r="F128" s="23">
        <f>'BASE DE DATOS'!$D128/'BASE DE DATOS'!$E128</f>
        <v>1</v>
      </c>
      <c r="G128" s="37"/>
    </row>
    <row r="129" spans="1:7" x14ac:dyDescent="0.35">
      <c r="A129" s="34">
        <v>45535</v>
      </c>
      <c r="B129" s="16" t="s">
        <v>30</v>
      </c>
      <c r="C129" s="17" t="s">
        <v>29</v>
      </c>
      <c r="D129" s="22">
        <v>1</v>
      </c>
      <c r="E129" s="22">
        <v>1</v>
      </c>
      <c r="F129" s="23">
        <f>'BASE DE DATOS'!$D129/'BASE DE DATOS'!$E129</f>
        <v>1</v>
      </c>
      <c r="G129" s="37"/>
    </row>
    <row r="130" spans="1:7" x14ac:dyDescent="0.35">
      <c r="A130" s="34">
        <v>45535</v>
      </c>
      <c r="B130" s="12" t="s">
        <v>38</v>
      </c>
      <c r="C130" s="17" t="s">
        <v>21</v>
      </c>
      <c r="D130" s="22">
        <v>4</v>
      </c>
      <c r="E130" s="22">
        <v>2</v>
      </c>
      <c r="F130" s="23">
        <f>'BASE DE DATOS'!$D130/'BASE DE DATOS'!$E130</f>
        <v>2</v>
      </c>
      <c r="G130" s="37"/>
    </row>
    <row r="131" spans="1:7" x14ac:dyDescent="0.35">
      <c r="A131" s="34">
        <v>45535</v>
      </c>
      <c r="B131" s="12" t="s">
        <v>39</v>
      </c>
      <c r="C131" s="17" t="s">
        <v>21</v>
      </c>
      <c r="D131" s="22">
        <v>2</v>
      </c>
      <c r="E131" s="22">
        <v>2</v>
      </c>
      <c r="F131" s="23">
        <f>'BASE DE DATOS'!$D131/'BASE DE DATOS'!$E131</f>
        <v>1</v>
      </c>
      <c r="G131" s="37"/>
    </row>
    <row r="132" spans="1:7" x14ac:dyDescent="0.35">
      <c r="A132" s="34">
        <v>45535</v>
      </c>
      <c r="B132" s="12" t="s">
        <v>43</v>
      </c>
      <c r="C132" s="17" t="s">
        <v>21</v>
      </c>
      <c r="D132" s="22">
        <v>2</v>
      </c>
      <c r="E132" s="22">
        <v>2</v>
      </c>
      <c r="F132" s="23">
        <f>'BASE DE DATOS'!$D132/'BASE DE DATOS'!$E132</f>
        <v>1</v>
      </c>
      <c r="G132" s="37"/>
    </row>
    <row r="133" spans="1:7" x14ac:dyDescent="0.35">
      <c r="A133" s="34">
        <v>45535</v>
      </c>
      <c r="B133" s="12" t="s">
        <v>41</v>
      </c>
      <c r="C133" s="17" t="s">
        <v>21</v>
      </c>
      <c r="D133" s="22">
        <v>2</v>
      </c>
      <c r="E133" s="22">
        <v>2</v>
      </c>
      <c r="F133" s="23">
        <f>'BASE DE DATOS'!$D133/'BASE DE DATOS'!$E133</f>
        <v>1</v>
      </c>
      <c r="G133" s="37"/>
    </row>
    <row r="134" spans="1:7" x14ac:dyDescent="0.35">
      <c r="A134" s="34">
        <v>45535</v>
      </c>
      <c r="B134" s="12" t="s">
        <v>40</v>
      </c>
      <c r="C134" s="17" t="s">
        <v>21</v>
      </c>
      <c r="D134" s="22">
        <v>2</v>
      </c>
      <c r="E134" s="22">
        <v>2</v>
      </c>
      <c r="F134" s="23">
        <f>'BASE DE DATOS'!$D134/'BASE DE DATOS'!$E134</f>
        <v>1</v>
      </c>
      <c r="G134" s="37"/>
    </row>
    <row r="135" spans="1:7" x14ac:dyDescent="0.35">
      <c r="A135" s="34">
        <v>45535</v>
      </c>
      <c r="B135" s="12" t="s">
        <v>42</v>
      </c>
      <c r="C135" s="17" t="s">
        <v>21</v>
      </c>
      <c r="D135" s="22">
        <v>2</v>
      </c>
      <c r="E135" s="22">
        <v>2</v>
      </c>
      <c r="F135" s="23">
        <f>'BASE DE DATOS'!$D135/'BASE DE DATOS'!$E135</f>
        <v>1</v>
      </c>
      <c r="G135" s="37"/>
    </row>
    <row r="136" spans="1:7" x14ac:dyDescent="0.35">
      <c r="A136" s="34">
        <v>45535</v>
      </c>
      <c r="B136" s="12" t="s">
        <v>35</v>
      </c>
      <c r="C136" s="17" t="s">
        <v>21</v>
      </c>
      <c r="D136" s="22">
        <v>2</v>
      </c>
      <c r="E136" s="22">
        <v>2</v>
      </c>
      <c r="F136" s="23">
        <f>'BASE DE DATOS'!$D136/'BASE DE DATOS'!$E136</f>
        <v>1</v>
      </c>
      <c r="G136" s="37"/>
    </row>
    <row r="137" spans="1:7" x14ac:dyDescent="0.35">
      <c r="A137" s="34">
        <v>45535</v>
      </c>
      <c r="B137" s="16" t="s">
        <v>36</v>
      </c>
      <c r="C137" s="17" t="s">
        <v>21</v>
      </c>
      <c r="D137" s="22">
        <v>2</v>
      </c>
      <c r="E137" s="22">
        <v>2</v>
      </c>
      <c r="F137" s="23">
        <f>'BASE DE DATOS'!$D137/'BASE DE DATOS'!$E137</f>
        <v>1</v>
      </c>
      <c r="G137" s="37"/>
    </row>
    <row r="138" spans="1:7" x14ac:dyDescent="0.35">
      <c r="A138" s="34">
        <v>45535</v>
      </c>
      <c r="B138" s="12" t="s">
        <v>45</v>
      </c>
      <c r="C138" s="17" t="s">
        <v>21</v>
      </c>
      <c r="D138" s="22">
        <v>2</v>
      </c>
      <c r="E138" s="22">
        <v>2</v>
      </c>
      <c r="F138" s="23">
        <f>'BASE DE DATOS'!$D138/'BASE DE DATOS'!$E138</f>
        <v>1</v>
      </c>
      <c r="G138" s="37"/>
    </row>
    <row r="139" spans="1:7" x14ac:dyDescent="0.35">
      <c r="A139" s="34">
        <v>45535</v>
      </c>
      <c r="B139" s="12" t="s">
        <v>34</v>
      </c>
      <c r="C139" s="17" t="s">
        <v>21</v>
      </c>
      <c r="D139" s="22">
        <v>3</v>
      </c>
      <c r="E139" s="22">
        <v>2</v>
      </c>
      <c r="F139" s="23">
        <f>'BASE DE DATOS'!$D139/'BASE DE DATOS'!$E139</f>
        <v>1.5</v>
      </c>
      <c r="G139" s="37"/>
    </row>
    <row r="140" spans="1:7" x14ac:dyDescent="0.35">
      <c r="A140" s="34">
        <v>45565</v>
      </c>
      <c r="B140" s="16" t="s">
        <v>30</v>
      </c>
      <c r="C140" s="17" t="s">
        <v>16</v>
      </c>
      <c r="D140" s="22">
        <v>4</v>
      </c>
      <c r="E140" s="22">
        <v>4</v>
      </c>
      <c r="F140" s="23">
        <f>'BASE DE DATOS'!$D140/'BASE DE DATOS'!$E140</f>
        <v>1</v>
      </c>
      <c r="G140" s="37"/>
    </row>
    <row r="141" spans="1:7" x14ac:dyDescent="0.35">
      <c r="A141" s="34">
        <v>45565</v>
      </c>
      <c r="B141" s="16" t="s">
        <v>30</v>
      </c>
      <c r="C141" s="17" t="s">
        <v>6</v>
      </c>
      <c r="D141" s="22">
        <v>7</v>
      </c>
      <c r="E141" s="22">
        <v>6</v>
      </c>
      <c r="F141" s="23">
        <f>'BASE DE DATOS'!$D141/'BASE DE DATOS'!$E141</f>
        <v>1.1666666666666667</v>
      </c>
      <c r="G141" s="37"/>
    </row>
    <row r="142" spans="1:7" x14ac:dyDescent="0.35">
      <c r="A142" s="34">
        <v>45565</v>
      </c>
      <c r="B142" s="16" t="s">
        <v>30</v>
      </c>
      <c r="C142" s="17" t="s">
        <v>24</v>
      </c>
      <c r="D142" s="22">
        <v>1</v>
      </c>
      <c r="E142" s="22">
        <v>1</v>
      </c>
      <c r="F142" s="23">
        <f>'BASE DE DATOS'!$D142/'BASE DE DATOS'!$E142</f>
        <v>1</v>
      </c>
      <c r="G142" s="37"/>
    </row>
    <row r="143" spans="1:7" x14ac:dyDescent="0.35">
      <c r="A143" s="34">
        <v>45565</v>
      </c>
      <c r="B143" s="16" t="s">
        <v>30</v>
      </c>
      <c r="C143" s="17" t="s">
        <v>25</v>
      </c>
      <c r="D143" s="22">
        <v>1</v>
      </c>
      <c r="E143" s="22">
        <v>1</v>
      </c>
      <c r="F143" s="23">
        <f>'BASE DE DATOS'!$D143/'BASE DE DATOS'!$E143</f>
        <v>1</v>
      </c>
      <c r="G143" s="37"/>
    </row>
    <row r="144" spans="1:7" x14ac:dyDescent="0.35">
      <c r="A144" s="34">
        <v>45565</v>
      </c>
      <c r="B144" s="16" t="s">
        <v>30</v>
      </c>
      <c r="C144" s="17" t="s">
        <v>26</v>
      </c>
      <c r="D144" s="22">
        <v>1</v>
      </c>
      <c r="E144" s="22">
        <v>1</v>
      </c>
      <c r="F144" s="23">
        <f>'BASE DE DATOS'!$D144/'BASE DE DATOS'!$E144</f>
        <v>1</v>
      </c>
      <c r="G144" s="37"/>
    </row>
    <row r="145" spans="1:7" x14ac:dyDescent="0.35">
      <c r="A145" s="34">
        <v>45565</v>
      </c>
      <c r="B145" s="16" t="s">
        <v>30</v>
      </c>
      <c r="C145" s="17" t="s">
        <v>27</v>
      </c>
      <c r="D145" s="22">
        <v>1</v>
      </c>
      <c r="E145" s="22">
        <v>1</v>
      </c>
      <c r="F145" s="23">
        <f>'BASE DE DATOS'!$D145/'BASE DE DATOS'!$E145</f>
        <v>1</v>
      </c>
      <c r="G145" s="37"/>
    </row>
    <row r="146" spans="1:7" x14ac:dyDescent="0.35">
      <c r="A146" s="34">
        <v>45565</v>
      </c>
      <c r="B146" s="16" t="s">
        <v>30</v>
      </c>
      <c r="C146" s="17" t="s">
        <v>28</v>
      </c>
      <c r="D146" s="22">
        <v>1</v>
      </c>
      <c r="E146" s="22">
        <v>1</v>
      </c>
      <c r="F146" s="23">
        <f>'BASE DE DATOS'!$D146/'BASE DE DATOS'!$E146</f>
        <v>1</v>
      </c>
      <c r="G146" s="37"/>
    </row>
    <row r="147" spans="1:7" x14ac:dyDescent="0.35">
      <c r="A147" s="34">
        <v>45565</v>
      </c>
      <c r="B147" s="16" t="s">
        <v>30</v>
      </c>
      <c r="C147" s="17" t="s">
        <v>29</v>
      </c>
      <c r="D147" s="22">
        <v>1</v>
      </c>
      <c r="E147" s="22">
        <v>1</v>
      </c>
      <c r="F147" s="23">
        <f>'BASE DE DATOS'!$D147/'BASE DE DATOS'!$E147</f>
        <v>1</v>
      </c>
      <c r="G147" s="37"/>
    </row>
    <row r="148" spans="1:7" x14ac:dyDescent="0.35">
      <c r="A148" s="34">
        <v>45565</v>
      </c>
      <c r="B148" s="12" t="s">
        <v>38</v>
      </c>
      <c r="C148" s="17" t="s">
        <v>21</v>
      </c>
      <c r="D148" s="22">
        <v>2</v>
      </c>
      <c r="E148" s="22">
        <v>2</v>
      </c>
      <c r="F148" s="23">
        <f>'BASE DE DATOS'!$D148/'BASE DE DATOS'!$E148</f>
        <v>1</v>
      </c>
      <c r="G148" s="37"/>
    </row>
    <row r="149" spans="1:7" x14ac:dyDescent="0.35">
      <c r="A149" s="34">
        <v>45565</v>
      </c>
      <c r="B149" s="12" t="s">
        <v>39</v>
      </c>
      <c r="C149" s="17" t="s">
        <v>21</v>
      </c>
      <c r="D149" s="22">
        <v>2</v>
      </c>
      <c r="E149" s="22">
        <v>2</v>
      </c>
      <c r="F149" s="23">
        <f>'BASE DE DATOS'!$D149/'BASE DE DATOS'!$E149</f>
        <v>1</v>
      </c>
      <c r="G149" s="37"/>
    </row>
    <row r="150" spans="1:7" x14ac:dyDescent="0.35">
      <c r="A150" s="34">
        <v>45565</v>
      </c>
      <c r="B150" s="12" t="s">
        <v>43</v>
      </c>
      <c r="C150" s="17" t="s">
        <v>21</v>
      </c>
      <c r="D150" s="22">
        <v>2</v>
      </c>
      <c r="E150" s="22">
        <v>2</v>
      </c>
      <c r="F150" s="23">
        <f>'BASE DE DATOS'!$D150/'BASE DE DATOS'!$E150</f>
        <v>1</v>
      </c>
      <c r="G150" s="37"/>
    </row>
    <row r="151" spans="1:7" x14ac:dyDescent="0.35">
      <c r="A151" s="34">
        <v>45565</v>
      </c>
      <c r="B151" s="12" t="s">
        <v>41</v>
      </c>
      <c r="C151" s="17" t="s">
        <v>21</v>
      </c>
      <c r="D151" s="22">
        <v>2</v>
      </c>
      <c r="E151" s="22">
        <v>2</v>
      </c>
      <c r="F151" s="23">
        <f>'BASE DE DATOS'!$D151/'BASE DE DATOS'!$E151</f>
        <v>1</v>
      </c>
      <c r="G151" s="37"/>
    </row>
    <row r="152" spans="1:7" x14ac:dyDescent="0.35">
      <c r="A152" s="34">
        <v>45565</v>
      </c>
      <c r="B152" s="12" t="s">
        <v>40</v>
      </c>
      <c r="C152" s="17" t="s">
        <v>21</v>
      </c>
      <c r="D152" s="22">
        <v>2</v>
      </c>
      <c r="E152" s="22">
        <v>2</v>
      </c>
      <c r="F152" s="23">
        <f>'BASE DE DATOS'!$D152/'BASE DE DATOS'!$E152</f>
        <v>1</v>
      </c>
      <c r="G152" s="37"/>
    </row>
    <row r="153" spans="1:7" x14ac:dyDescent="0.35">
      <c r="A153" s="34">
        <v>45565</v>
      </c>
      <c r="B153" s="12" t="s">
        <v>42</v>
      </c>
      <c r="C153" s="17" t="s">
        <v>21</v>
      </c>
      <c r="D153" s="22">
        <v>2</v>
      </c>
      <c r="E153" s="22">
        <v>2</v>
      </c>
      <c r="F153" s="23">
        <f>'BASE DE DATOS'!$D153/'BASE DE DATOS'!$E153</f>
        <v>1</v>
      </c>
      <c r="G153" s="37"/>
    </row>
    <row r="154" spans="1:7" x14ac:dyDescent="0.35">
      <c r="A154" s="34">
        <v>45565</v>
      </c>
      <c r="B154" s="12" t="s">
        <v>35</v>
      </c>
      <c r="C154" s="17" t="s">
        <v>21</v>
      </c>
      <c r="D154" s="22">
        <v>2</v>
      </c>
      <c r="E154" s="22">
        <v>2</v>
      </c>
      <c r="F154" s="23">
        <f>'BASE DE DATOS'!$D154/'BASE DE DATOS'!$E154</f>
        <v>1</v>
      </c>
      <c r="G154" s="37"/>
    </row>
    <row r="155" spans="1:7" x14ac:dyDescent="0.35">
      <c r="A155" s="34">
        <v>45565</v>
      </c>
      <c r="B155" s="16" t="s">
        <v>36</v>
      </c>
      <c r="C155" s="17" t="s">
        <v>21</v>
      </c>
      <c r="D155" s="22">
        <v>2</v>
      </c>
      <c r="E155" s="22">
        <v>2</v>
      </c>
      <c r="F155" s="23">
        <f>'BASE DE DATOS'!$D155/'BASE DE DATOS'!$E155</f>
        <v>1</v>
      </c>
      <c r="G155" s="37"/>
    </row>
    <row r="156" spans="1:7" x14ac:dyDescent="0.35">
      <c r="A156" s="34">
        <v>45565</v>
      </c>
      <c r="B156" s="12" t="s">
        <v>45</v>
      </c>
      <c r="C156" s="17" t="s">
        <v>21</v>
      </c>
      <c r="D156" s="22">
        <v>2</v>
      </c>
      <c r="E156" s="22">
        <v>2</v>
      </c>
      <c r="F156" s="23">
        <f>'BASE DE DATOS'!$D156/'BASE DE DATOS'!$E156</f>
        <v>1</v>
      </c>
      <c r="G156" s="37"/>
    </row>
    <row r="157" spans="1:7" x14ac:dyDescent="0.35">
      <c r="A157" s="34">
        <v>45565</v>
      </c>
      <c r="B157" s="12" t="s">
        <v>34</v>
      </c>
      <c r="C157" s="17" t="s">
        <v>21</v>
      </c>
      <c r="D157" s="22">
        <v>2</v>
      </c>
      <c r="E157" s="22">
        <v>2</v>
      </c>
      <c r="F157" s="23">
        <f>'BASE DE DATOS'!$D157/'BASE DE DATOS'!$E157</f>
        <v>1</v>
      </c>
      <c r="G157" s="37"/>
    </row>
    <row r="158" spans="1:7" x14ac:dyDescent="0.35">
      <c r="A158" s="34">
        <v>45596</v>
      </c>
      <c r="B158" s="16" t="s">
        <v>30</v>
      </c>
      <c r="C158" s="17" t="s">
        <v>16</v>
      </c>
      <c r="D158" s="22">
        <v>4</v>
      </c>
      <c r="E158" s="22">
        <v>4</v>
      </c>
      <c r="F158" s="23">
        <f>'BASE DE DATOS'!$D158/'BASE DE DATOS'!$E158</f>
        <v>1</v>
      </c>
      <c r="G158" s="37"/>
    </row>
    <row r="159" spans="1:7" x14ac:dyDescent="0.35">
      <c r="A159" s="34">
        <v>45596</v>
      </c>
      <c r="B159" s="16" t="s">
        <v>30</v>
      </c>
      <c r="C159" s="17" t="s">
        <v>6</v>
      </c>
      <c r="D159" s="22">
        <v>6</v>
      </c>
      <c r="E159" s="22">
        <v>6</v>
      </c>
      <c r="F159" s="23">
        <f>'BASE DE DATOS'!$D159/'BASE DE DATOS'!$E159</f>
        <v>1</v>
      </c>
      <c r="G159" s="37"/>
    </row>
    <row r="160" spans="1:7" x14ac:dyDescent="0.35">
      <c r="A160" s="34">
        <v>45596</v>
      </c>
      <c r="B160" s="16" t="s">
        <v>30</v>
      </c>
      <c r="C160" s="17" t="s">
        <v>24</v>
      </c>
      <c r="D160" s="22">
        <v>1</v>
      </c>
      <c r="E160" s="22">
        <v>1</v>
      </c>
      <c r="F160" s="23">
        <f>'BASE DE DATOS'!$D160/'BASE DE DATOS'!$E160</f>
        <v>1</v>
      </c>
      <c r="G160" s="37"/>
    </row>
    <row r="161" spans="1:7" x14ac:dyDescent="0.35">
      <c r="A161" s="34">
        <v>45596</v>
      </c>
      <c r="B161" s="16" t="s">
        <v>30</v>
      </c>
      <c r="C161" s="17" t="s">
        <v>25</v>
      </c>
      <c r="D161" s="22">
        <v>1</v>
      </c>
      <c r="E161" s="22">
        <v>1</v>
      </c>
      <c r="F161" s="23">
        <f>'BASE DE DATOS'!$D161/'BASE DE DATOS'!$E161</f>
        <v>1</v>
      </c>
      <c r="G161" s="37"/>
    </row>
    <row r="162" spans="1:7" x14ac:dyDescent="0.35">
      <c r="A162" s="34">
        <v>45596</v>
      </c>
      <c r="B162" s="16" t="s">
        <v>30</v>
      </c>
      <c r="C162" s="17" t="s">
        <v>26</v>
      </c>
      <c r="D162" s="22">
        <v>1</v>
      </c>
      <c r="E162" s="22">
        <v>1</v>
      </c>
      <c r="F162" s="23">
        <f>'BASE DE DATOS'!$D162/'BASE DE DATOS'!$E162</f>
        <v>1</v>
      </c>
      <c r="G162" s="37"/>
    </row>
    <row r="163" spans="1:7" x14ac:dyDescent="0.35">
      <c r="A163" s="34">
        <v>45596</v>
      </c>
      <c r="B163" s="16" t="s">
        <v>30</v>
      </c>
      <c r="C163" s="17" t="s">
        <v>27</v>
      </c>
      <c r="D163" s="22">
        <v>1</v>
      </c>
      <c r="E163" s="22">
        <v>1</v>
      </c>
      <c r="F163" s="23">
        <f>'BASE DE DATOS'!$D163/'BASE DE DATOS'!$E163</f>
        <v>1</v>
      </c>
      <c r="G163" s="37"/>
    </row>
    <row r="164" spans="1:7" x14ac:dyDescent="0.35">
      <c r="A164" s="34">
        <v>45596</v>
      </c>
      <c r="B164" s="16" t="s">
        <v>30</v>
      </c>
      <c r="C164" s="17" t="s">
        <v>28</v>
      </c>
      <c r="D164" s="22">
        <v>1</v>
      </c>
      <c r="E164" s="22">
        <v>1</v>
      </c>
      <c r="F164" s="23">
        <f>'BASE DE DATOS'!$D164/'BASE DE DATOS'!$E164</f>
        <v>1</v>
      </c>
      <c r="G164" s="37"/>
    </row>
    <row r="165" spans="1:7" x14ac:dyDescent="0.35">
      <c r="A165" s="34">
        <v>45596</v>
      </c>
      <c r="B165" s="16" t="s">
        <v>30</v>
      </c>
      <c r="C165" s="17" t="s">
        <v>29</v>
      </c>
      <c r="D165" s="22">
        <v>1</v>
      </c>
      <c r="E165" s="22">
        <v>1</v>
      </c>
      <c r="F165" s="23">
        <f>'BASE DE DATOS'!$D165/'BASE DE DATOS'!$E165</f>
        <v>1</v>
      </c>
      <c r="G165" s="37"/>
    </row>
    <row r="166" spans="1:7" x14ac:dyDescent="0.35">
      <c r="A166" s="34">
        <v>45596</v>
      </c>
      <c r="B166" s="12" t="s">
        <v>38</v>
      </c>
      <c r="C166" s="17" t="s">
        <v>21</v>
      </c>
      <c r="D166" s="22">
        <v>2</v>
      </c>
      <c r="E166" s="22">
        <v>2</v>
      </c>
      <c r="F166" s="23">
        <f>'BASE DE DATOS'!$D166/'BASE DE DATOS'!$E166</f>
        <v>1</v>
      </c>
      <c r="G166" s="37"/>
    </row>
    <row r="167" spans="1:7" x14ac:dyDescent="0.35">
      <c r="A167" s="34">
        <v>45596</v>
      </c>
      <c r="B167" s="12" t="s">
        <v>39</v>
      </c>
      <c r="C167" s="17" t="s">
        <v>21</v>
      </c>
      <c r="D167" s="22">
        <v>2</v>
      </c>
      <c r="E167" s="22">
        <v>2</v>
      </c>
      <c r="F167" s="23">
        <f>'BASE DE DATOS'!$D167/'BASE DE DATOS'!$E167</f>
        <v>1</v>
      </c>
      <c r="G167" s="37"/>
    </row>
    <row r="168" spans="1:7" x14ac:dyDescent="0.35">
      <c r="A168" s="34">
        <v>45596</v>
      </c>
      <c r="B168" s="12" t="s">
        <v>43</v>
      </c>
      <c r="C168" s="17" t="s">
        <v>21</v>
      </c>
      <c r="D168" s="22">
        <v>2</v>
      </c>
      <c r="E168" s="22">
        <v>2</v>
      </c>
      <c r="F168" s="23">
        <f>'BASE DE DATOS'!$D168/'BASE DE DATOS'!$E168</f>
        <v>1</v>
      </c>
      <c r="G168" s="37"/>
    </row>
    <row r="169" spans="1:7" x14ac:dyDescent="0.35">
      <c r="A169" s="34">
        <v>45596</v>
      </c>
      <c r="B169" s="12" t="s">
        <v>41</v>
      </c>
      <c r="C169" s="17" t="s">
        <v>21</v>
      </c>
      <c r="D169" s="22">
        <v>2</v>
      </c>
      <c r="E169" s="22">
        <v>2</v>
      </c>
      <c r="F169" s="23">
        <f>'BASE DE DATOS'!$D169/'BASE DE DATOS'!$E169</f>
        <v>1</v>
      </c>
      <c r="G169" s="37"/>
    </row>
    <row r="170" spans="1:7" x14ac:dyDescent="0.35">
      <c r="A170" s="34">
        <v>45596</v>
      </c>
      <c r="B170" s="12" t="s">
        <v>40</v>
      </c>
      <c r="C170" s="17" t="s">
        <v>21</v>
      </c>
      <c r="D170" s="22">
        <v>2</v>
      </c>
      <c r="E170" s="22">
        <v>2</v>
      </c>
      <c r="F170" s="23">
        <f>'BASE DE DATOS'!$D170/'BASE DE DATOS'!$E170</f>
        <v>1</v>
      </c>
      <c r="G170" s="37"/>
    </row>
    <row r="171" spans="1:7" x14ac:dyDescent="0.35">
      <c r="A171" s="34">
        <v>45596</v>
      </c>
      <c r="B171" s="12" t="s">
        <v>42</v>
      </c>
      <c r="C171" s="17" t="s">
        <v>21</v>
      </c>
      <c r="D171" s="22">
        <v>2</v>
      </c>
      <c r="E171" s="22">
        <v>2</v>
      </c>
      <c r="F171" s="23">
        <f>'BASE DE DATOS'!$D171/'BASE DE DATOS'!$E171</f>
        <v>1</v>
      </c>
      <c r="G171" s="37"/>
    </row>
    <row r="172" spans="1:7" x14ac:dyDescent="0.35">
      <c r="A172" s="34">
        <v>45596</v>
      </c>
      <c r="B172" s="12" t="s">
        <v>35</v>
      </c>
      <c r="C172" s="17" t="s">
        <v>21</v>
      </c>
      <c r="D172" s="22">
        <v>2</v>
      </c>
      <c r="E172" s="22">
        <v>2</v>
      </c>
      <c r="F172" s="23">
        <f>'BASE DE DATOS'!$D172/'BASE DE DATOS'!$E172</f>
        <v>1</v>
      </c>
      <c r="G172" s="37"/>
    </row>
    <row r="173" spans="1:7" x14ac:dyDescent="0.35">
      <c r="A173" s="34">
        <v>45596</v>
      </c>
      <c r="B173" s="16" t="s">
        <v>36</v>
      </c>
      <c r="C173" s="17" t="s">
        <v>21</v>
      </c>
      <c r="D173" s="22">
        <v>2</v>
      </c>
      <c r="E173" s="22">
        <v>2</v>
      </c>
      <c r="F173" s="23">
        <f>'BASE DE DATOS'!$D173/'BASE DE DATOS'!$E173</f>
        <v>1</v>
      </c>
      <c r="G173" s="37"/>
    </row>
    <row r="174" spans="1:7" x14ac:dyDescent="0.35">
      <c r="A174" s="34">
        <v>45596</v>
      </c>
      <c r="B174" s="12" t="s">
        <v>45</v>
      </c>
      <c r="C174" s="17" t="s">
        <v>21</v>
      </c>
      <c r="D174" s="22">
        <v>2</v>
      </c>
      <c r="E174" s="22">
        <v>2</v>
      </c>
      <c r="F174" s="23">
        <f>'BASE DE DATOS'!$D174/'BASE DE DATOS'!$E174</f>
        <v>1</v>
      </c>
      <c r="G174" s="37"/>
    </row>
    <row r="175" spans="1:7" x14ac:dyDescent="0.35">
      <c r="A175" s="34">
        <v>45596</v>
      </c>
      <c r="B175" s="12" t="s">
        <v>34</v>
      </c>
      <c r="C175" s="17" t="s">
        <v>21</v>
      </c>
      <c r="D175" s="22">
        <v>4</v>
      </c>
      <c r="E175" s="22">
        <v>2</v>
      </c>
      <c r="F175" s="23">
        <f>'BASE DE DATOS'!$D175/'BASE DE DATOS'!$E175</f>
        <v>2</v>
      </c>
      <c r="G175" s="37"/>
    </row>
    <row r="176" spans="1:7" x14ac:dyDescent="0.35">
      <c r="A176" s="34">
        <v>45596</v>
      </c>
      <c r="B176" s="16" t="s">
        <v>46</v>
      </c>
      <c r="C176" s="17" t="s">
        <v>21</v>
      </c>
      <c r="D176" s="22">
        <v>4</v>
      </c>
      <c r="E176" s="22">
        <v>2</v>
      </c>
      <c r="F176" s="23">
        <f>'BASE DE DATOS'!$D176/'BASE DE DATOS'!$E176</f>
        <v>2</v>
      </c>
      <c r="G176" s="37"/>
    </row>
    <row r="177" spans="1:7" x14ac:dyDescent="0.35">
      <c r="A177" s="34">
        <v>45626</v>
      </c>
      <c r="B177" s="16" t="s">
        <v>30</v>
      </c>
      <c r="C177" s="17" t="s">
        <v>16</v>
      </c>
      <c r="D177" s="43">
        <v>5</v>
      </c>
      <c r="E177" s="22">
        <v>4</v>
      </c>
      <c r="F177" s="44">
        <f>'BASE DE DATOS'!$D177/'BASE DE DATOS'!$E177</f>
        <v>1.25</v>
      </c>
      <c r="G177" s="45"/>
    </row>
    <row r="178" spans="1:7" x14ac:dyDescent="0.35">
      <c r="A178" s="34">
        <v>45626</v>
      </c>
      <c r="B178" s="16" t="s">
        <v>30</v>
      </c>
      <c r="C178" s="17" t="s">
        <v>6</v>
      </c>
      <c r="D178" s="43">
        <v>5</v>
      </c>
      <c r="E178" s="22">
        <v>6</v>
      </c>
      <c r="F178" s="44">
        <f>'BASE DE DATOS'!$D178/'BASE DE DATOS'!$E178</f>
        <v>0.83333333333333337</v>
      </c>
      <c r="G178" s="45"/>
    </row>
    <row r="179" spans="1:7" x14ac:dyDescent="0.35">
      <c r="A179" s="34">
        <v>45626</v>
      </c>
      <c r="B179" s="16" t="s">
        <v>30</v>
      </c>
      <c r="C179" s="17" t="s">
        <v>24</v>
      </c>
      <c r="D179" s="43">
        <v>1</v>
      </c>
      <c r="E179" s="22">
        <v>1</v>
      </c>
      <c r="F179" s="44">
        <f>'BASE DE DATOS'!$D179/'BASE DE DATOS'!$E179</f>
        <v>1</v>
      </c>
      <c r="G179" s="45"/>
    </row>
    <row r="180" spans="1:7" x14ac:dyDescent="0.35">
      <c r="A180" s="34">
        <v>45626</v>
      </c>
      <c r="B180" s="16" t="s">
        <v>30</v>
      </c>
      <c r="C180" s="17" t="s">
        <v>25</v>
      </c>
      <c r="D180" s="43">
        <v>1</v>
      </c>
      <c r="E180" s="22">
        <v>1</v>
      </c>
      <c r="F180" s="44">
        <f>'BASE DE DATOS'!$D180/'BASE DE DATOS'!$E180</f>
        <v>1</v>
      </c>
      <c r="G180" s="45"/>
    </row>
    <row r="181" spans="1:7" x14ac:dyDescent="0.35">
      <c r="A181" s="34">
        <v>45626</v>
      </c>
      <c r="B181" s="16" t="s">
        <v>30</v>
      </c>
      <c r="C181" s="17" t="s">
        <v>26</v>
      </c>
      <c r="D181" s="43">
        <v>1</v>
      </c>
      <c r="E181" s="22">
        <v>1</v>
      </c>
      <c r="F181" s="44">
        <f>'BASE DE DATOS'!$D181/'BASE DE DATOS'!$E181</f>
        <v>1</v>
      </c>
      <c r="G181" s="45"/>
    </row>
    <row r="182" spans="1:7" x14ac:dyDescent="0.35">
      <c r="A182" s="34">
        <v>45626</v>
      </c>
      <c r="B182" s="16" t="s">
        <v>30</v>
      </c>
      <c r="C182" s="17" t="s">
        <v>27</v>
      </c>
      <c r="D182" s="43">
        <v>1</v>
      </c>
      <c r="E182" s="22">
        <v>1</v>
      </c>
      <c r="F182" s="44">
        <f>'BASE DE DATOS'!$D182/'BASE DE DATOS'!$E182</f>
        <v>1</v>
      </c>
      <c r="G182" s="45"/>
    </row>
    <row r="183" spans="1:7" x14ac:dyDescent="0.35">
      <c r="A183" s="34">
        <v>45626</v>
      </c>
      <c r="B183" s="16" t="s">
        <v>30</v>
      </c>
      <c r="C183" s="17" t="s">
        <v>28</v>
      </c>
      <c r="D183" s="43">
        <v>1</v>
      </c>
      <c r="E183" s="22">
        <v>1</v>
      </c>
      <c r="F183" s="44">
        <f>'BASE DE DATOS'!$D183/'BASE DE DATOS'!$E183</f>
        <v>1</v>
      </c>
      <c r="G183" s="45"/>
    </row>
    <row r="184" spans="1:7" x14ac:dyDescent="0.35">
      <c r="A184" s="34">
        <v>45626</v>
      </c>
      <c r="B184" s="16" t="s">
        <v>30</v>
      </c>
      <c r="C184" s="17" t="s">
        <v>29</v>
      </c>
      <c r="D184" s="43">
        <v>1</v>
      </c>
      <c r="E184" s="22">
        <v>1</v>
      </c>
      <c r="F184" s="44">
        <f>'BASE DE DATOS'!$D184/'BASE DE DATOS'!$E184</f>
        <v>1</v>
      </c>
      <c r="G184" s="45"/>
    </row>
    <row r="185" spans="1:7" x14ac:dyDescent="0.35">
      <c r="A185" s="34">
        <v>45626</v>
      </c>
      <c r="B185" s="12" t="s">
        <v>38</v>
      </c>
      <c r="C185" s="17" t="s">
        <v>21</v>
      </c>
      <c r="D185" s="43">
        <v>2</v>
      </c>
      <c r="E185" s="22">
        <v>2</v>
      </c>
      <c r="F185" s="44">
        <f>'BASE DE DATOS'!$D185/'BASE DE DATOS'!$E185</f>
        <v>1</v>
      </c>
      <c r="G185" s="45"/>
    </row>
    <row r="186" spans="1:7" x14ac:dyDescent="0.35">
      <c r="A186" s="34">
        <v>45626</v>
      </c>
      <c r="B186" s="12" t="s">
        <v>39</v>
      </c>
      <c r="C186" s="17" t="s">
        <v>21</v>
      </c>
      <c r="D186" s="43">
        <v>2</v>
      </c>
      <c r="E186" s="22">
        <v>2</v>
      </c>
      <c r="F186" s="44">
        <f>'BASE DE DATOS'!$D186/'BASE DE DATOS'!$E186</f>
        <v>1</v>
      </c>
      <c r="G186" s="45"/>
    </row>
    <row r="187" spans="1:7" x14ac:dyDescent="0.35">
      <c r="A187" s="34">
        <v>45626</v>
      </c>
      <c r="B187" s="12" t="s">
        <v>43</v>
      </c>
      <c r="C187" s="17" t="s">
        <v>21</v>
      </c>
      <c r="D187" s="43">
        <v>2</v>
      </c>
      <c r="E187" s="22">
        <v>2</v>
      </c>
      <c r="F187" s="44">
        <f>'BASE DE DATOS'!$D187/'BASE DE DATOS'!$E187</f>
        <v>1</v>
      </c>
      <c r="G187" s="45"/>
    </row>
    <row r="188" spans="1:7" x14ac:dyDescent="0.35">
      <c r="A188" s="34">
        <v>45626</v>
      </c>
      <c r="B188" s="12" t="s">
        <v>41</v>
      </c>
      <c r="C188" s="17" t="s">
        <v>21</v>
      </c>
      <c r="D188" s="43">
        <v>0</v>
      </c>
      <c r="E188" s="22">
        <v>0</v>
      </c>
      <c r="F188" s="44"/>
      <c r="G188" s="45" t="s">
        <v>37</v>
      </c>
    </row>
    <row r="189" spans="1:7" x14ac:dyDescent="0.35">
      <c r="A189" s="34">
        <v>45626</v>
      </c>
      <c r="B189" s="12" t="s">
        <v>40</v>
      </c>
      <c r="C189" s="17" t="s">
        <v>21</v>
      </c>
      <c r="D189" s="43">
        <v>2</v>
      </c>
      <c r="E189" s="22">
        <v>2</v>
      </c>
      <c r="F189" s="44">
        <f>'BASE DE DATOS'!$D189/'BASE DE DATOS'!$E189</f>
        <v>1</v>
      </c>
      <c r="G189" s="45"/>
    </row>
    <row r="190" spans="1:7" x14ac:dyDescent="0.35">
      <c r="A190" s="34">
        <v>45626</v>
      </c>
      <c r="B190" s="12" t="s">
        <v>42</v>
      </c>
      <c r="C190" s="17" t="s">
        <v>21</v>
      </c>
      <c r="D190" s="43">
        <v>2</v>
      </c>
      <c r="E190" s="22">
        <v>2</v>
      </c>
      <c r="F190" s="44">
        <f>'BASE DE DATOS'!$D190/'BASE DE DATOS'!$E190</f>
        <v>1</v>
      </c>
      <c r="G190" s="45"/>
    </row>
    <row r="191" spans="1:7" x14ac:dyDescent="0.35">
      <c r="A191" s="34">
        <v>45626</v>
      </c>
      <c r="B191" s="12" t="s">
        <v>35</v>
      </c>
      <c r="C191" s="17" t="s">
        <v>21</v>
      </c>
      <c r="D191" s="43">
        <v>2</v>
      </c>
      <c r="E191" s="22">
        <v>2</v>
      </c>
      <c r="F191" s="44">
        <f>'BASE DE DATOS'!$D191/'BASE DE DATOS'!$E191</f>
        <v>1</v>
      </c>
      <c r="G191" s="45"/>
    </row>
    <row r="192" spans="1:7" x14ac:dyDescent="0.35">
      <c r="A192" s="34">
        <v>45626</v>
      </c>
      <c r="B192" s="16" t="s">
        <v>36</v>
      </c>
      <c r="C192" s="17" t="s">
        <v>21</v>
      </c>
      <c r="D192" s="43">
        <v>2</v>
      </c>
      <c r="E192" s="22">
        <v>2</v>
      </c>
      <c r="F192" s="44">
        <f>'BASE DE DATOS'!$D192/'BASE DE DATOS'!$E192</f>
        <v>1</v>
      </c>
      <c r="G192" s="45"/>
    </row>
    <row r="193" spans="1:7" x14ac:dyDescent="0.35">
      <c r="A193" s="34">
        <v>45626</v>
      </c>
      <c r="B193" s="12" t="s">
        <v>45</v>
      </c>
      <c r="C193" s="17" t="s">
        <v>21</v>
      </c>
      <c r="D193" s="43">
        <v>0</v>
      </c>
      <c r="E193" s="22">
        <v>2</v>
      </c>
      <c r="F193" s="44">
        <f>'BASE DE DATOS'!$D193/'BASE DE DATOS'!$E193</f>
        <v>0</v>
      </c>
      <c r="G193" s="45"/>
    </row>
    <row r="194" spans="1:7" x14ac:dyDescent="0.35">
      <c r="A194" s="34">
        <v>45626</v>
      </c>
      <c r="B194" s="12" t="s">
        <v>34</v>
      </c>
      <c r="C194" s="17" t="s">
        <v>21</v>
      </c>
      <c r="D194" s="43">
        <v>0</v>
      </c>
      <c r="E194" s="22">
        <v>2</v>
      </c>
      <c r="F194" s="44">
        <f>'BASE DE DATOS'!$D194/'BASE DE DATOS'!$E194</f>
        <v>0</v>
      </c>
      <c r="G194" s="45"/>
    </row>
    <row r="195" spans="1:7" x14ac:dyDescent="0.35">
      <c r="A195" s="34">
        <v>45626</v>
      </c>
      <c r="B195" s="16" t="s">
        <v>46</v>
      </c>
      <c r="C195" s="17" t="s">
        <v>21</v>
      </c>
      <c r="D195" s="43">
        <v>7</v>
      </c>
      <c r="E195" s="22">
        <v>2</v>
      </c>
      <c r="F195" s="44">
        <f>'BASE DE DATOS'!$D195/'BASE DE DATOS'!$E195</f>
        <v>3.5</v>
      </c>
      <c r="G195" s="45"/>
    </row>
    <row r="196" spans="1:7" x14ac:dyDescent="0.35">
      <c r="A196" s="24"/>
      <c r="B196" s="12"/>
      <c r="C196" s="17"/>
      <c r="D196" s="22"/>
      <c r="E196" s="22"/>
      <c r="F196" s="23"/>
      <c r="G196" s="25"/>
    </row>
    <row r="197" spans="1:7" x14ac:dyDescent="0.35">
      <c r="A197" s="24"/>
      <c r="B197" s="12"/>
      <c r="C197" s="17"/>
      <c r="D197" s="22"/>
      <c r="E197" s="22"/>
      <c r="F197" s="23"/>
      <c r="G197" s="26"/>
    </row>
    <row r="198" spans="1:7" x14ac:dyDescent="0.35">
      <c r="A198" s="24"/>
      <c r="B198" s="12"/>
      <c r="C198" s="17"/>
      <c r="D198" s="22"/>
      <c r="E198" s="22"/>
      <c r="F198" s="23"/>
      <c r="G198" s="25"/>
    </row>
    <row r="199" spans="1:7" x14ac:dyDescent="0.35">
      <c r="A199" s="24"/>
      <c r="B199" s="12"/>
      <c r="C199" s="17"/>
      <c r="D199" s="22"/>
      <c r="E199" s="22"/>
      <c r="F199" s="23"/>
      <c r="G199" s="26"/>
    </row>
    <row r="200" spans="1:7" x14ac:dyDescent="0.35">
      <c r="A200" s="24"/>
      <c r="B200" s="12"/>
      <c r="C200" s="17"/>
      <c r="D200" s="22"/>
      <c r="E200" s="22"/>
      <c r="F200" s="23"/>
      <c r="G200" s="25"/>
    </row>
    <row r="201" spans="1:7" x14ac:dyDescent="0.35">
      <c r="A201" s="24"/>
      <c r="B201" s="12"/>
      <c r="C201" s="17"/>
      <c r="D201" s="22"/>
      <c r="E201" s="22"/>
      <c r="F201" s="23"/>
      <c r="G201" s="26"/>
    </row>
    <row r="202" spans="1:7" x14ac:dyDescent="0.35">
      <c r="A202" s="27"/>
      <c r="B202" s="28"/>
      <c r="C202" s="29"/>
      <c r="D202" s="30"/>
      <c r="E202" s="30"/>
      <c r="F202" s="31"/>
      <c r="G202" s="32"/>
    </row>
  </sheetData>
  <phoneticPr fontId="10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059208197157644B01C2844AC97171D" ma:contentTypeVersion="19" ma:contentTypeDescription="Crear nuevo documento." ma:contentTypeScope="" ma:versionID="bc7cbb1fcb72d5f8b05e87c8ce859221">
  <xsd:schema xmlns:xsd="http://www.w3.org/2001/XMLSchema" xmlns:xs="http://www.w3.org/2001/XMLSchema" xmlns:p="http://schemas.microsoft.com/office/2006/metadata/properties" xmlns:ns1="http://schemas.microsoft.com/sharepoint/v3" xmlns:ns2="b1ba3065-7f0a-4415-ac29-a8c73a1cf533" xmlns:ns3="94718bc8-7c02-4167-9d55-3bfee31cf150" targetNamespace="http://schemas.microsoft.com/office/2006/metadata/properties" ma:root="true" ma:fieldsID="46a6125fa971abd06a31b704fa990b4c" ns1:_="" ns2:_="" ns3:_="">
    <xsd:import namespace="http://schemas.microsoft.com/sharepoint/v3"/>
    <xsd:import namespace="b1ba3065-7f0a-4415-ac29-a8c73a1cf533"/>
    <xsd:import namespace="94718bc8-7c02-4167-9d55-3bfee31cf1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LengthInSecond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ba3065-7f0a-4415-ac29-a8c73a1cf5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98999269-020c-4dd0-84de-6e6b95cd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718bc8-7c02-4167-9d55-3bfee31cf15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19bce89-9f07-49d5-9634-c72c59d4ca9b}" ma:internalName="TaxCatchAll" ma:showField="CatchAllData" ma:web="94718bc8-7c02-4167-9d55-3bfee31cf1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b1ba3065-7f0a-4415-ac29-a8c73a1cf533">
      <Terms xmlns="http://schemas.microsoft.com/office/infopath/2007/PartnerControls"/>
    </lcf76f155ced4ddcb4097134ff3c332f>
    <_ip_UnifiedCompliancePolicyProperties xmlns="http://schemas.microsoft.com/sharepoint/v3" xsi:nil="true"/>
    <TaxCatchAll xmlns="94718bc8-7c02-4167-9d55-3bfee31cf150" xsi:nil="true"/>
  </documentManagement>
</p:properties>
</file>

<file path=customXml/itemProps1.xml><?xml version="1.0" encoding="utf-8"?>
<ds:datastoreItem xmlns:ds="http://schemas.openxmlformats.org/officeDocument/2006/customXml" ds:itemID="{31809880-E82A-4439-AEF5-8E3A9A659897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04B19DFC-C301-4786-92C0-91AF479075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85818B2-4D6E-470D-8D5D-360AB6406340}"/>
</file>

<file path=customXml/itemProps4.xml><?xml version="1.0" encoding="utf-8"?>
<ds:datastoreItem xmlns:ds="http://schemas.openxmlformats.org/officeDocument/2006/customXml" ds:itemID="{F5565633-C8B2-4C6E-8A20-35E3D58E8705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OBJETIVOS</vt:lpstr>
      <vt:lpstr>BASE DE DATOS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MPrado</dc:creator>
  <cp:keywords/>
  <dc:description/>
  <cp:lastModifiedBy>Mercedes Prado Barrantes</cp:lastModifiedBy>
  <cp:revision/>
  <dcterms:created xsi:type="dcterms:W3CDTF">2020-07-09T13:12:51Z</dcterms:created>
  <dcterms:modified xsi:type="dcterms:W3CDTF">2025-12-08T13:58:33Z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0x0101005059208197157644B01C2844AC97171D</vt:lpwstr>
  </property>
</Properties>
</file>