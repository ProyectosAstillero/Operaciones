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asaomega.sharepoint.com/sites/TASA-Astillero/Operaciones/JEFATURA DE OPERACIONES/CONSOLIDADOS DE POWER BI/"/>
    </mc:Choice>
  </mc:AlternateContent>
  <xr:revisionPtr revIDLastSave="47" documentId="13_ncr:1_{3873F7A0-A3A7-4004-BEFE-D69225864D9E}" xr6:coauthVersionLast="47" xr6:coauthVersionMax="47" xr10:uidLastSave="{C4CE7F06-10FA-4304-AB06-028E7332E582}"/>
  <bookViews>
    <workbookView xWindow="-108" yWindow="-108" windowWidth="23256" windowHeight="12576" activeTab="1" xr2:uid="{00000000-000D-0000-FFFF-FFFF00000000}"/>
  </bookViews>
  <sheets>
    <sheet name="OBJETIVOS" sheetId="25" r:id="rId1"/>
    <sheet name="basededatos" sheetId="29" r:id="rId2"/>
    <sheet name="Hoja1" sheetId="30" r:id="rId3"/>
    <sheet name="BASE DE DATOS" sheetId="27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9" i="29" l="1"/>
  <c r="F170" i="29"/>
  <c r="F171" i="29"/>
  <c r="F172" i="29"/>
  <c r="F173" i="29"/>
  <c r="F174" i="29"/>
  <c r="F175" i="29"/>
  <c r="F176" i="29"/>
  <c r="F177" i="29"/>
  <c r="F178" i="29"/>
  <c r="F179" i="29"/>
  <c r="F180" i="29"/>
  <c r="F181" i="29"/>
  <c r="F182" i="29"/>
  <c r="F183" i="29"/>
  <c r="F184" i="29"/>
  <c r="F168" i="29"/>
  <c r="F167" i="29"/>
  <c r="F166" i="29"/>
  <c r="F165" i="29"/>
  <c r="F164" i="29"/>
  <c r="F163" i="29"/>
  <c r="F162" i="29"/>
  <c r="F161" i="29"/>
  <c r="F160" i="29"/>
  <c r="F159" i="29"/>
  <c r="F158" i="29"/>
  <c r="F157" i="29"/>
  <c r="F156" i="29"/>
  <c r="F155" i="29"/>
  <c r="F154" i="29"/>
  <c r="F153" i="29"/>
  <c r="F152" i="29"/>
  <c r="F151" i="29"/>
  <c r="F134" i="29"/>
  <c r="F135" i="29"/>
  <c r="F136" i="29"/>
  <c r="F137" i="29"/>
  <c r="F138" i="29"/>
  <c r="F139" i="29"/>
  <c r="F140" i="29"/>
  <c r="F141" i="29"/>
  <c r="F142" i="29"/>
  <c r="F143" i="29"/>
  <c r="F144" i="29"/>
  <c r="F145" i="29"/>
  <c r="F146" i="29"/>
  <c r="F147" i="29"/>
  <c r="F148" i="29"/>
  <c r="F149" i="29"/>
  <c r="F150" i="29"/>
  <c r="F124" i="29"/>
  <c r="F123" i="29"/>
  <c r="F129" i="29"/>
  <c r="F130" i="29"/>
  <c r="F133" i="29"/>
  <c r="F132" i="29"/>
  <c r="F131" i="29"/>
  <c r="F128" i="29"/>
  <c r="F127" i="29"/>
  <c r="F126" i="29"/>
  <c r="F125" i="29"/>
  <c r="F122" i="29"/>
  <c r="F121" i="29"/>
  <c r="F120" i="29"/>
  <c r="F119" i="29"/>
  <c r="F118" i="29"/>
  <c r="F117" i="29"/>
  <c r="F116" i="29"/>
  <c r="F115" i="29"/>
  <c r="F114" i="29"/>
  <c r="F113" i="29"/>
  <c r="F112" i="29"/>
  <c r="F111" i="29"/>
  <c r="F110" i="29"/>
  <c r="F109" i="29"/>
  <c r="F108" i="29"/>
  <c r="F107" i="29"/>
  <c r="F106" i="29"/>
  <c r="F105" i="29"/>
  <c r="F104" i="29"/>
  <c r="F103" i="29"/>
  <c r="F102" i="29"/>
  <c r="F85" i="29"/>
  <c r="F86" i="29"/>
  <c r="F88" i="29"/>
  <c r="F89" i="29"/>
  <c r="F90" i="29"/>
  <c r="F91" i="29"/>
  <c r="F92" i="29"/>
  <c r="F93" i="29"/>
  <c r="F94" i="29"/>
  <c r="F95" i="29"/>
  <c r="F96" i="29"/>
  <c r="F97" i="29"/>
  <c r="F98" i="29"/>
  <c r="F99" i="29"/>
  <c r="F100" i="29"/>
  <c r="F101" i="29"/>
  <c r="F87" i="29"/>
  <c r="F72" i="29"/>
  <c r="F73" i="29"/>
  <c r="F84" i="29"/>
  <c r="F83" i="29"/>
  <c r="F82" i="29"/>
  <c r="F80" i="29"/>
  <c r="F79" i="29"/>
  <c r="F78" i="29"/>
  <c r="F75" i="29"/>
  <c r="F74" i="29"/>
  <c r="F71" i="29"/>
  <c r="F70" i="29"/>
  <c r="F69" i="29"/>
  <c r="F68" i="29"/>
  <c r="F67" i="29"/>
  <c r="F66" i="29"/>
  <c r="F65" i="29"/>
  <c r="F64" i="29"/>
  <c r="F63" i="29"/>
  <c r="F60" i="29"/>
  <c r="F59" i="29"/>
  <c r="F56" i="29"/>
  <c r="F55" i="29"/>
  <c r="F48" i="29"/>
  <c r="F49" i="29"/>
  <c r="F18" i="29"/>
  <c r="F17" i="29"/>
  <c r="F16" i="29"/>
  <c r="F15" i="29"/>
  <c r="F14" i="29"/>
  <c r="F13" i="29"/>
  <c r="F12" i="29"/>
  <c r="F11" i="29"/>
  <c r="F10" i="29"/>
  <c r="F9" i="29"/>
  <c r="F8" i="29"/>
  <c r="F7" i="29"/>
  <c r="F6" i="29"/>
  <c r="F5" i="29"/>
  <c r="F4" i="29"/>
  <c r="F3" i="29"/>
  <c r="F2" i="29"/>
  <c r="F54" i="29" l="1"/>
  <c r="F53" i="29"/>
  <c r="F52" i="29"/>
  <c r="F51" i="29"/>
  <c r="F50" i="29"/>
  <c r="F47" i="29"/>
  <c r="F46" i="29"/>
  <c r="F45" i="29"/>
  <c r="F44" i="29"/>
  <c r="F43" i="29"/>
  <c r="F42" i="29"/>
  <c r="F41" i="29"/>
  <c r="F40" i="29"/>
  <c r="F39" i="29"/>
  <c r="F38" i="29"/>
  <c r="F37" i="29"/>
  <c r="F36" i="29"/>
  <c r="F34" i="29"/>
  <c r="F35" i="29"/>
  <c r="F33" i="29"/>
  <c r="F32" i="29"/>
  <c r="F31" i="29"/>
  <c r="F30" i="29"/>
  <c r="F29" i="29"/>
  <c r="F28" i="29"/>
  <c r="F27" i="29"/>
  <c r="F26" i="29"/>
  <c r="F25" i="29"/>
  <c r="F24" i="29"/>
  <c r="F23" i="29"/>
  <c r="F22" i="29"/>
  <c r="F21" i="29"/>
  <c r="F20" i="29"/>
  <c r="F19" i="29"/>
  <c r="F8" i="27" l="1"/>
  <c r="F9" i="27"/>
  <c r="F17" i="27" l="1"/>
  <c r="F3" i="27"/>
  <c r="F4" i="27"/>
  <c r="F5" i="27"/>
  <c r="F6" i="27"/>
  <c r="F7" i="27"/>
  <c r="F10" i="27"/>
  <c r="F11" i="27"/>
  <c r="F12" i="27"/>
  <c r="F13" i="27"/>
  <c r="F14" i="27"/>
  <c r="F15" i="27"/>
  <c r="F16" i="27"/>
  <c r="F18" i="27"/>
  <c r="F19" i="27"/>
  <c r="F20" i="27"/>
  <c r="F21" i="27"/>
  <c r="F22" i="27"/>
  <c r="F23" i="27"/>
  <c r="F24" i="27"/>
  <c r="F25" i="27"/>
  <c r="F2" i="27" l="1"/>
</calcChain>
</file>

<file path=xl/sharedStrings.xml><?xml version="1.0" encoding="utf-8"?>
<sst xmlns="http://schemas.openxmlformats.org/spreadsheetml/2006/main" count="486" uniqueCount="76">
  <si>
    <t>LIDERAZGO EN SEGURIDAD</t>
  </si>
  <si>
    <t>OPERACIONES</t>
  </si>
  <si>
    <t>N°</t>
  </si>
  <si>
    <t>NOMBRE</t>
  </si>
  <si>
    <t>CARGO</t>
  </si>
  <si>
    <t>META</t>
  </si>
  <si>
    <t>AUD. PTS
 y AST</t>
  </si>
  <si>
    <t>JEFE DE OPERACIONES</t>
  </si>
  <si>
    <t>MERCEDES LILIANA PRADO BARRANTES</t>
  </si>
  <si>
    <t>ASISTENTE DE OPERACIONES ASTILLERO</t>
  </si>
  <si>
    <t>SUPERVISOR DE PROYECTOS</t>
  </si>
  <si>
    <t>MARCO HERNANDEZ DIAZ</t>
  </si>
  <si>
    <t>SUPER. DE PROPUL., GOB. Y AUXILIARES</t>
  </si>
  <si>
    <t>WALTER GUILLERMO BONIFACIO</t>
  </si>
  <si>
    <t>SUPERVISOR DE CALDERERIA Y SOLDADURA</t>
  </si>
  <si>
    <t>LUIS LOSTAUNAU</t>
  </si>
  <si>
    <t>EMILIO ARANDA EDUARDO</t>
  </si>
  <si>
    <t>AUXILIAR  DE TRATAMIENTO DE SUPERFICIES</t>
  </si>
  <si>
    <t>MARIO HUAMAN TTITO</t>
  </si>
  <si>
    <t xml:space="preserve"> SALVA</t>
  </si>
  <si>
    <t>FECHA</t>
  </si>
  <si>
    <t>Marco Hernandez</t>
  </si>
  <si>
    <t>Mario Huaman</t>
  </si>
  <si>
    <t>Walter Guillermo</t>
  </si>
  <si>
    <t>Salva</t>
  </si>
  <si>
    <t>NOMBRES</t>
  </si>
  <si>
    <t>TIPO DE OBJETIVO</t>
  </si>
  <si>
    <t>RESULTADO</t>
  </si>
  <si>
    <t xml:space="preserve">% CUMPLIMIENTO </t>
  </si>
  <si>
    <t>HAISSEN TRUJILLO</t>
  </si>
  <si>
    <t>MARCO HERNANDEZ</t>
  </si>
  <si>
    <t>WALTER GUILLERMO</t>
  </si>
  <si>
    <t>Visitas de Liderazgo</t>
  </si>
  <si>
    <t>Inspección inopinada</t>
  </si>
  <si>
    <t>MARIO HUAMAN</t>
  </si>
  <si>
    <t>SUSTENTO</t>
  </si>
  <si>
    <t>Emilio Aranda</t>
  </si>
  <si>
    <t>Inspec.
andamios</t>
  </si>
  <si>
    <t>Inspec. Eq. A presion</t>
  </si>
  <si>
    <t>Inspec. Taller pintura</t>
  </si>
  <si>
    <t>Inspec duchas y lavaojos</t>
  </si>
  <si>
    <t>Inspec de EPP y EPC</t>
  </si>
  <si>
    <t>Auditoria a PTS y AST</t>
  </si>
  <si>
    <t>Liliana Prado</t>
  </si>
  <si>
    <t>JOSE LUIS SANCHES MALPARTIDA</t>
  </si>
  <si>
    <t>IP</t>
  </si>
  <si>
    <t>JOSE  SANCHES MALPARTIDA</t>
  </si>
  <si>
    <t>Inspección planeada</t>
  </si>
  <si>
    <t>Inspección andamios</t>
  </si>
  <si>
    <t>Inspección a taller</t>
  </si>
  <si>
    <t xml:space="preserve">Auditoria a PTS y AST </t>
  </si>
  <si>
    <t>Inspeccion a EPPS</t>
  </si>
  <si>
    <t>Inspeccion a ducha lava ojos</t>
  </si>
  <si>
    <t>Inspeccion de equipos a presion</t>
  </si>
  <si>
    <t>Jose Sanchez</t>
  </si>
  <si>
    <t>LILIANA PRADO BARRANTES</t>
  </si>
  <si>
    <t>Inspección Mensual de Arnés y Línea de Vida</t>
  </si>
  <si>
    <t>Inspección de taller - DE MANIOBRAS</t>
  </si>
  <si>
    <t>Inspección, Check List, de Winche</t>
  </si>
  <si>
    <t>Inspección, Check List, Carro de Varada</t>
  </si>
  <si>
    <t>Inspección de Accesorios de Izamiento</t>
  </si>
  <si>
    <t>ROGGER HUAMAN</t>
  </si>
  <si>
    <t>Inspeccion de andamios</t>
  </si>
  <si>
    <t>Rogger Huaman</t>
  </si>
  <si>
    <t>Compensación</t>
  </si>
  <si>
    <t>Descanso médico</t>
  </si>
  <si>
    <t>Compensación 15 días</t>
  </si>
  <si>
    <t>No hubo armado de andamios</t>
  </si>
  <si>
    <t>Walter</t>
  </si>
  <si>
    <t>Carlos</t>
  </si>
  <si>
    <t>Segundo Sanchez</t>
  </si>
  <si>
    <t xml:space="preserve">Emilio Aranda </t>
  </si>
  <si>
    <t>No. Auditorias</t>
  </si>
  <si>
    <t>Auditor</t>
  </si>
  <si>
    <t>Carlos Carrión</t>
  </si>
  <si>
    <t>15 vacaciones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</si>
</sst>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theme="4"/>
      </patternFill>
    </fill>
    <fill>
      <patternFill patternType="solid">
        <fgColor theme="0"/>
        <bgColor rgb="FFDDEBF7"/>
      </patternFill>
    </fill>
    <fill>
      <patternFill patternType="solid">
        <fgColor rgb="FF92D050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5" fillId="0" borderId="0" xfId="0" applyFont="1"/>
    <xf numFmtId="0" fontId="8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4" fontId="11" fillId="4" borderId="2" xfId="0" applyNumberFormat="1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0" fillId="5" borderId="1" xfId="0" applyFill="1" applyBorder="1" applyAlignment="1">
      <alignment horizontal="center"/>
    </xf>
    <xf numFmtId="9" fontId="1" fillId="2" borderId="1" xfId="1" applyFont="1" applyFill="1" applyBorder="1" applyAlignment="1">
      <alignment horizontal="center"/>
    </xf>
    <xf numFmtId="0" fontId="8" fillId="0" borderId="1" xfId="0" applyFont="1" applyBorder="1"/>
    <xf numFmtId="0" fontId="0" fillId="0" borderId="0" xfId="0" applyAlignment="1">
      <alignment horizontal="center" vertical="center"/>
    </xf>
    <xf numFmtId="0" fontId="1" fillId="6" borderId="6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" fillId="6" borderId="6" xfId="0" applyFont="1" applyFill="1" applyBorder="1" applyAlignment="1">
      <alignment horizontal="center" vertical="center"/>
    </xf>
    <xf numFmtId="14" fontId="0" fillId="5" borderId="6" xfId="0" applyNumberFormat="1" applyFill="1" applyBorder="1" applyAlignment="1">
      <alignment horizontal="right"/>
    </xf>
    <xf numFmtId="0" fontId="0" fillId="5" borderId="6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9" fontId="12" fillId="2" borderId="6" xfId="1" applyFont="1" applyFill="1" applyBorder="1" applyAlignment="1">
      <alignment horizontal="center"/>
    </xf>
    <xf numFmtId="0" fontId="0" fillId="5" borderId="12" xfId="0" applyFill="1" applyBorder="1"/>
    <xf numFmtId="14" fontId="0" fillId="5" borderId="9" xfId="0" applyNumberFormat="1" applyFill="1" applyBorder="1" applyAlignment="1">
      <alignment horizontal="right"/>
    </xf>
    <xf numFmtId="0" fontId="1" fillId="6" borderId="10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9" fontId="12" fillId="2" borderId="10" xfId="1" applyFont="1" applyFill="1" applyBorder="1" applyAlignment="1">
      <alignment horizontal="center"/>
    </xf>
    <xf numFmtId="0" fontId="0" fillId="5" borderId="11" xfId="0" applyFill="1" applyBorder="1"/>
    <xf numFmtId="0" fontId="1" fillId="6" borderId="13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9" fontId="12" fillId="2" borderId="9" xfId="1" applyFont="1" applyFill="1" applyBorder="1" applyAlignment="1">
      <alignment horizontal="center"/>
    </xf>
    <xf numFmtId="14" fontId="0" fillId="5" borderId="8" xfId="0" applyNumberFormat="1" applyFill="1" applyBorder="1" applyAlignment="1">
      <alignment horizontal="right"/>
    </xf>
    <xf numFmtId="0" fontId="0" fillId="5" borderId="6" xfId="0" applyFill="1" applyBorder="1"/>
    <xf numFmtId="0" fontId="0" fillId="5" borderId="9" xfId="0" applyFill="1" applyBorder="1"/>
    <xf numFmtId="14" fontId="11" fillId="7" borderId="0" xfId="0" applyNumberFormat="1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6" fillId="9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2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9" formatCode="d/mm/yyyy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2" tint="-9.9978637043366805E-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628650</xdr:colOff>
      <xdr:row>1</xdr:row>
      <xdr:rowOff>200025</xdr:rowOff>
    </xdr:to>
    <xdr:pic>
      <xdr:nvPicPr>
        <xdr:cNvPr id="2" name="Picture 12" descr="image001">
          <a:extLst>
            <a:ext uri="{FF2B5EF4-FFF2-40B4-BE49-F238E27FC236}">
              <a16:creationId xmlns:a16="http://schemas.microsoft.com/office/drawing/2014/main" id="{F481951E-7073-42F6-BFFE-45CB52F4F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828675" cy="4571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356BD5-CF8E-4E97-8E7C-D612B4356C4D}" name="Operaciones2025" displayName="Operaciones2025" ref="A1:G184" totalsRowShown="0" headerRowDxfId="19" tableBorderDxfId="18">
  <autoFilter ref="A1:G184" xr:uid="{3A356BD5-CF8E-4E97-8E7C-D612B4356C4D}"/>
  <tableColumns count="7">
    <tableColumn id="1" xr3:uid="{1BE15286-2736-4356-A24D-B954A8AE798E}" name="FECHA" dataDxfId="17"/>
    <tableColumn id="2" xr3:uid="{F6C7CF2F-E6DC-42C2-A7E0-9782509D31C9}" name="NOMBRES" dataDxfId="16"/>
    <tableColumn id="3" xr3:uid="{3E987365-D3FE-48EB-A7A3-7D147FFF404B}" name="TIPO DE OBJETIVO" dataDxfId="15"/>
    <tableColumn id="4" xr3:uid="{E133904D-2FD6-4578-AA1D-D84A49D1F073}" name="RESULTADO" dataDxfId="14"/>
    <tableColumn id="5" xr3:uid="{2FFDA7BC-9951-4138-9674-0B275AF68265}" name="META" dataDxfId="13"/>
    <tableColumn id="6" xr3:uid="{CA9331B5-B40C-4724-BCA9-EA1AB1967ABB}" name="% CUMPLIMIENTO " dataDxfId="12" dataCellStyle="Porcentaje">
      <calculatedColumnFormula>D2/E2</calculatedColumnFormula>
    </tableColumn>
    <tableColumn id="7" xr3:uid="{F8B24BAF-5F84-4B1B-B3EC-744ECAF3D453}" name="SUSTENTO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51BB57-C26C-45B9-9C5D-658B9C5B3051}" name="Objetivosseg2022" displayName="Objetivosseg2022" ref="A1:G25" totalsRowShown="0" headerRowDxfId="10" headerRowBorderDxfId="9" tableBorderDxfId="8" totalsRowBorderDxfId="7">
  <autoFilter ref="A1:G25" xr:uid="{4051BB57-C26C-45B9-9C5D-658B9C5B3051}"/>
  <tableColumns count="7">
    <tableColumn id="1" xr3:uid="{F0BC9615-8B10-4333-B946-5D84F3C3557B}" name="FECHA" dataDxfId="6"/>
    <tableColumn id="2" xr3:uid="{5CC5F53E-2268-4950-9B34-85F27DAF8A5E}" name="NOMBRES" dataDxfId="5"/>
    <tableColumn id="3" xr3:uid="{49B5441B-DDCC-4BEF-8AFA-BDA4244CC741}" name="TIPO DE OBJETIVO" dataDxfId="4"/>
    <tableColumn id="4" xr3:uid="{E43B5A8D-0CF6-49FF-B6DC-6A73D2CB005B}" name="RESULTADO" dataDxfId="3"/>
    <tableColumn id="5" xr3:uid="{49B2029E-4637-4191-BA3D-DE27C05546C6}" name="META" dataDxfId="2"/>
    <tableColumn id="6" xr3:uid="{7E0540FA-D815-4FA1-B39F-6D53F4D4D416}" name="% CUMPLIMIENTO " dataDxfId="1" dataCellStyle="Porcentaje">
      <calculatedColumnFormula>Objetivosseg2022[[#This Row],[RESULTADO]]/Objetivosseg2022[[#This Row],[META]]</calculatedColumnFormula>
    </tableColumn>
    <tableColumn id="7" xr3:uid="{39C6DAEC-4207-4920-9BE8-A253E9B3309B}" name="SUST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Azul cálido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O19"/>
  <sheetViews>
    <sheetView zoomScale="78" zoomScaleNormal="78" workbookViewId="0">
      <selection activeCell="C19" sqref="C19"/>
    </sheetView>
  </sheetViews>
  <sheetFormatPr baseColWidth="10" defaultColWidth="11.44140625" defaultRowHeight="13.8" x14ac:dyDescent="0.25"/>
  <cols>
    <col min="1" max="1" width="3" style="4" bestFit="1" customWidth="1"/>
    <col min="2" max="2" width="32.33203125" style="4" customWidth="1"/>
    <col min="3" max="3" width="40.21875" style="4" customWidth="1"/>
    <col min="4" max="4" width="6" style="4" customWidth="1"/>
    <col min="5" max="5" width="8.44140625" style="4" bestFit="1" customWidth="1"/>
    <col min="6" max="6" width="8.77734375" style="4" customWidth="1"/>
    <col min="7" max="7" width="7.109375" style="4" bestFit="1" customWidth="1"/>
    <col min="8" max="8" width="6.6640625" style="4" bestFit="1" customWidth="1"/>
    <col min="9" max="9" width="8" style="4" bestFit="1" customWidth="1"/>
    <col min="10" max="10" width="6.5546875" style="4" bestFit="1" customWidth="1"/>
    <col min="11" max="16" width="11.44140625" style="4" customWidth="1"/>
    <col min="17" max="21" width="3.5546875" style="4" customWidth="1"/>
    <col min="22" max="27" width="9.77734375" style="4" customWidth="1"/>
    <col min="28" max="16384" width="11.44140625" style="4"/>
  </cols>
  <sheetData>
    <row r="1" spans="1:15" ht="20.399999999999999" x14ac:dyDescent="0.35">
      <c r="A1" s="1"/>
      <c r="B1" s="2"/>
      <c r="C1" s="2"/>
      <c r="D1" s="2"/>
      <c r="E1" s="3"/>
      <c r="F1" s="3"/>
      <c r="G1" s="3"/>
      <c r="H1" s="3"/>
      <c r="I1" s="3"/>
      <c r="J1" s="3"/>
    </row>
    <row r="2" spans="1:15" ht="21" x14ac:dyDescent="0.25">
      <c r="A2" s="60" t="s">
        <v>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</row>
    <row r="3" spans="1:15" ht="15.6" x14ac:dyDescent="0.25">
      <c r="A3" s="62" t="s">
        <v>1</v>
      </c>
      <c r="B3" s="62"/>
      <c r="C3" s="62"/>
      <c r="D3" s="62"/>
      <c r="E3" s="62"/>
      <c r="F3" s="19"/>
      <c r="G3" s="19"/>
      <c r="H3" s="19"/>
      <c r="I3" s="19"/>
      <c r="J3" s="19"/>
    </row>
    <row r="4" spans="1:15" s="5" customFormat="1" ht="19.05" customHeight="1" x14ac:dyDescent="0.2">
      <c r="A4" s="61" t="s">
        <v>2</v>
      </c>
      <c r="B4" s="61" t="s">
        <v>3</v>
      </c>
      <c r="C4" s="61" t="s">
        <v>4</v>
      </c>
      <c r="D4" s="63" t="s">
        <v>5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</row>
    <row r="5" spans="1:15" s="5" customFormat="1" ht="48" x14ac:dyDescent="0.2">
      <c r="A5" s="61"/>
      <c r="B5" s="61"/>
      <c r="C5" s="61"/>
      <c r="D5" s="9" t="s">
        <v>19</v>
      </c>
      <c r="E5" s="9" t="s">
        <v>6</v>
      </c>
      <c r="F5" s="9" t="s">
        <v>37</v>
      </c>
      <c r="G5" s="9" t="s">
        <v>38</v>
      </c>
      <c r="H5" s="9" t="s">
        <v>39</v>
      </c>
      <c r="I5" s="9" t="s">
        <v>40</v>
      </c>
      <c r="J5" s="9" t="s">
        <v>41</v>
      </c>
      <c r="K5" s="9" t="s">
        <v>56</v>
      </c>
      <c r="L5" s="9" t="s">
        <v>60</v>
      </c>
      <c r="M5" s="9" t="s">
        <v>57</v>
      </c>
      <c r="N5" s="9" t="s">
        <v>58</v>
      </c>
      <c r="O5" s="9" t="s">
        <v>59</v>
      </c>
    </row>
    <row r="6" spans="1:15" s="5" customFormat="1" ht="16.05" customHeight="1" x14ac:dyDescent="0.2">
      <c r="A6" s="6">
        <v>1</v>
      </c>
      <c r="B6" s="7" t="s">
        <v>44</v>
      </c>
      <c r="C6" s="7" t="s">
        <v>7</v>
      </c>
      <c r="D6" s="8">
        <v>4</v>
      </c>
      <c r="E6" s="8">
        <v>4</v>
      </c>
      <c r="F6" s="8"/>
      <c r="G6" s="8"/>
      <c r="H6" s="8"/>
      <c r="I6" s="8"/>
      <c r="K6" s="7"/>
      <c r="L6" s="22"/>
      <c r="M6" s="22"/>
      <c r="N6" s="22"/>
      <c r="O6" s="22"/>
    </row>
    <row r="7" spans="1:15" s="5" customFormat="1" ht="16.05" customHeight="1" x14ac:dyDescent="0.2">
      <c r="A7" s="6">
        <v>2</v>
      </c>
      <c r="B7" s="7" t="s">
        <v>8</v>
      </c>
      <c r="C7" s="7" t="s">
        <v>9</v>
      </c>
      <c r="D7" s="8">
        <v>4</v>
      </c>
      <c r="E7" s="8"/>
      <c r="F7" s="8"/>
      <c r="G7" s="8"/>
      <c r="H7" s="8"/>
      <c r="I7" s="8">
        <v>1</v>
      </c>
      <c r="J7" s="8">
        <v>1</v>
      </c>
      <c r="K7" s="7"/>
      <c r="L7" s="22"/>
      <c r="M7" s="22"/>
      <c r="N7" s="22"/>
      <c r="O7" s="22"/>
    </row>
    <row r="8" spans="1:15" s="5" customFormat="1" ht="16.05" customHeight="1" x14ac:dyDescent="0.2">
      <c r="A8" s="6">
        <v>3</v>
      </c>
      <c r="B8" s="7" t="s">
        <v>61</v>
      </c>
      <c r="C8" s="7" t="s">
        <v>10</v>
      </c>
      <c r="D8" s="8">
        <v>4</v>
      </c>
      <c r="E8" s="8">
        <v>6</v>
      </c>
      <c r="F8" s="8"/>
      <c r="G8" s="8"/>
      <c r="H8" s="8"/>
      <c r="I8" s="8"/>
      <c r="J8" s="8"/>
      <c r="K8" s="7"/>
      <c r="L8" s="22"/>
      <c r="M8" s="22"/>
      <c r="N8" s="22"/>
      <c r="O8" s="22"/>
    </row>
    <row r="9" spans="1:15" s="5" customFormat="1" ht="16.05" customHeight="1" x14ac:dyDescent="0.2">
      <c r="A9" s="6">
        <v>4</v>
      </c>
      <c r="B9" s="7" t="s">
        <v>11</v>
      </c>
      <c r="C9" s="7" t="s">
        <v>10</v>
      </c>
      <c r="D9" s="8">
        <v>4</v>
      </c>
      <c r="E9" s="8">
        <v>6</v>
      </c>
      <c r="F9" s="8"/>
      <c r="G9" s="8"/>
      <c r="H9" s="8"/>
      <c r="I9" s="8"/>
      <c r="J9" s="8"/>
      <c r="K9" s="7"/>
      <c r="L9" s="22"/>
      <c r="M9" s="22"/>
      <c r="N9" s="22"/>
      <c r="O9" s="22"/>
    </row>
    <row r="10" spans="1:15" s="5" customFormat="1" ht="16.05" customHeight="1" x14ac:dyDescent="0.2">
      <c r="A10" s="6">
        <v>5</v>
      </c>
      <c r="B10" s="7" t="s">
        <v>18</v>
      </c>
      <c r="C10" s="7" t="s">
        <v>12</v>
      </c>
      <c r="D10" s="8">
        <v>4</v>
      </c>
      <c r="E10" s="8">
        <v>6</v>
      </c>
      <c r="F10" s="8"/>
      <c r="G10" s="8"/>
      <c r="H10" s="8"/>
      <c r="I10" s="8"/>
      <c r="J10" s="8"/>
      <c r="K10" s="7"/>
      <c r="L10" s="22"/>
      <c r="M10" s="22"/>
      <c r="N10" s="22"/>
      <c r="O10" s="22"/>
    </row>
    <row r="11" spans="1:15" s="5" customFormat="1" ht="16.05" customHeight="1" x14ac:dyDescent="0.2">
      <c r="A11" s="6">
        <v>6</v>
      </c>
      <c r="B11" s="7" t="s">
        <v>13</v>
      </c>
      <c r="C11" s="7" t="s">
        <v>14</v>
      </c>
      <c r="D11" s="8">
        <v>4</v>
      </c>
      <c r="E11" s="8">
        <v>6</v>
      </c>
      <c r="F11" s="8"/>
      <c r="G11" s="8"/>
      <c r="H11" s="8"/>
      <c r="I11" s="8"/>
      <c r="J11" s="8"/>
      <c r="K11" s="22"/>
      <c r="L11" s="22"/>
      <c r="M11" s="22"/>
      <c r="N11" s="22"/>
      <c r="O11" s="22"/>
    </row>
    <row r="12" spans="1:15" s="5" customFormat="1" ht="16.05" customHeight="1" x14ac:dyDescent="0.2">
      <c r="A12" s="6">
        <v>7</v>
      </c>
      <c r="B12" s="7" t="s">
        <v>16</v>
      </c>
      <c r="C12" s="7" t="s">
        <v>17</v>
      </c>
      <c r="D12" s="8">
        <v>4</v>
      </c>
      <c r="E12" s="8">
        <v>6</v>
      </c>
      <c r="F12" s="8">
        <v>2</v>
      </c>
      <c r="G12" s="8">
        <v>1</v>
      </c>
      <c r="H12" s="8">
        <v>1</v>
      </c>
      <c r="I12" s="8"/>
      <c r="J12" s="8"/>
      <c r="K12" s="22"/>
      <c r="L12" s="22"/>
      <c r="M12" s="22"/>
      <c r="N12" s="22"/>
      <c r="O12" s="22"/>
    </row>
    <row r="14" spans="1:15" x14ac:dyDescent="0.25">
      <c r="B14" s="28"/>
    </row>
    <row r="15" spans="1:15" x14ac:dyDescent="0.25">
      <c r="B15" s="18"/>
    </row>
    <row r="16" spans="1:15" x14ac:dyDescent="0.25">
      <c r="B16" s="18"/>
    </row>
    <row r="17" spans="2:2" x14ac:dyDescent="0.25">
      <c r="B17" s="18"/>
    </row>
    <row r="18" spans="2:2" x14ac:dyDescent="0.25">
      <c r="B18" s="18"/>
    </row>
    <row r="19" spans="2:2" x14ac:dyDescent="0.25">
      <c r="B19" s="18"/>
    </row>
  </sheetData>
  <mergeCells count="6">
    <mergeCell ref="A2:O2"/>
    <mergeCell ref="B4:B5"/>
    <mergeCell ref="C4:C5"/>
    <mergeCell ref="A3:E3"/>
    <mergeCell ref="A4:A5"/>
    <mergeCell ref="D4:O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E71E-9D58-441F-BFF7-DB9E0B10C855}">
  <sheetPr codeName="Hoja2"/>
  <dimension ref="A1:I209"/>
  <sheetViews>
    <sheetView tabSelected="1" zoomScale="104" zoomScaleNormal="85" workbookViewId="0">
      <selection activeCell="I176" sqref="I176"/>
    </sheetView>
  </sheetViews>
  <sheetFormatPr baseColWidth="10" defaultRowHeight="14.4" x14ac:dyDescent="0.3"/>
  <cols>
    <col min="1" max="1" width="12.44140625" customWidth="1"/>
    <col min="2" max="2" width="16" style="23" bestFit="1" customWidth="1"/>
    <col min="3" max="3" width="20.77734375" bestFit="1" customWidth="1"/>
    <col min="4" max="4" width="12.77734375" customWidth="1"/>
    <col min="5" max="5" width="7.77734375" customWidth="1"/>
    <col min="6" max="6" width="18.6640625" customWidth="1"/>
    <col min="7" max="7" width="23.88671875" bestFit="1" customWidth="1"/>
    <col min="9" max="9" width="31.109375" bestFit="1" customWidth="1"/>
  </cols>
  <sheetData>
    <row r="1" spans="1:7" x14ac:dyDescent="0.3">
      <c r="A1" s="51" t="s">
        <v>20</v>
      </c>
      <c r="B1" s="25" t="s">
        <v>25</v>
      </c>
      <c r="C1" s="26" t="s">
        <v>26</v>
      </c>
      <c r="D1" s="26" t="s">
        <v>27</v>
      </c>
      <c r="E1" s="26" t="s">
        <v>5</v>
      </c>
      <c r="F1" s="26" t="s">
        <v>28</v>
      </c>
      <c r="G1" s="26" t="s">
        <v>35</v>
      </c>
    </row>
    <row r="2" spans="1:7" x14ac:dyDescent="0.3">
      <c r="A2" s="48">
        <v>45688</v>
      </c>
      <c r="B2" s="27" t="s">
        <v>54</v>
      </c>
      <c r="C2" s="24" t="s">
        <v>24</v>
      </c>
      <c r="D2" s="31">
        <v>4</v>
      </c>
      <c r="E2" s="32">
        <v>4</v>
      </c>
      <c r="F2" s="33">
        <f>D2/E2</f>
        <v>1</v>
      </c>
      <c r="G2" s="49"/>
    </row>
    <row r="3" spans="1:7" x14ac:dyDescent="0.3">
      <c r="A3" s="48">
        <v>45688</v>
      </c>
      <c r="B3" s="27" t="s">
        <v>54</v>
      </c>
      <c r="C3" s="24" t="s">
        <v>42</v>
      </c>
      <c r="D3" s="31">
        <v>4</v>
      </c>
      <c r="E3" s="32">
        <v>4</v>
      </c>
      <c r="F3" s="33">
        <f t="shared" ref="F3:F14" si="0">D3/E3</f>
        <v>1</v>
      </c>
      <c r="G3" s="49"/>
    </row>
    <row r="4" spans="1:7" ht="12" customHeight="1" x14ac:dyDescent="0.3">
      <c r="A4" s="48">
        <v>45688</v>
      </c>
      <c r="B4" s="27" t="s">
        <v>54</v>
      </c>
      <c r="C4" s="24" t="s">
        <v>40</v>
      </c>
      <c r="D4" s="31">
        <v>1</v>
      </c>
      <c r="E4" s="32">
        <v>1</v>
      </c>
      <c r="F4" s="33">
        <f t="shared" si="0"/>
        <v>1</v>
      </c>
      <c r="G4" s="49"/>
    </row>
    <row r="5" spans="1:7" x14ac:dyDescent="0.3">
      <c r="A5" s="48">
        <v>45688</v>
      </c>
      <c r="B5" s="27" t="s">
        <v>54</v>
      </c>
      <c r="C5" s="24" t="s">
        <v>41</v>
      </c>
      <c r="D5" s="31">
        <v>1</v>
      </c>
      <c r="E5" s="32">
        <v>1</v>
      </c>
      <c r="F5" s="33">
        <f t="shared" si="0"/>
        <v>1</v>
      </c>
      <c r="G5" s="49"/>
    </row>
    <row r="6" spans="1:7" x14ac:dyDescent="0.3">
      <c r="A6" s="48">
        <v>45688</v>
      </c>
      <c r="B6" s="27" t="s">
        <v>43</v>
      </c>
      <c r="C6" s="24" t="s">
        <v>24</v>
      </c>
      <c r="D6" s="31">
        <v>4</v>
      </c>
      <c r="E6" s="32">
        <v>4</v>
      </c>
      <c r="F6" s="33">
        <f t="shared" si="0"/>
        <v>1</v>
      </c>
      <c r="G6" s="49"/>
    </row>
    <row r="7" spans="1:7" x14ac:dyDescent="0.3">
      <c r="A7" s="48">
        <v>45688</v>
      </c>
      <c r="B7" s="27" t="s">
        <v>43</v>
      </c>
      <c r="C7" s="24" t="s">
        <v>45</v>
      </c>
      <c r="D7" s="31">
        <v>4</v>
      </c>
      <c r="E7" s="32">
        <v>3</v>
      </c>
      <c r="F7" s="33">
        <f t="shared" si="0"/>
        <v>1.3333333333333333</v>
      </c>
      <c r="G7" s="49"/>
    </row>
    <row r="8" spans="1:7" x14ac:dyDescent="0.3">
      <c r="A8" s="48">
        <v>45688</v>
      </c>
      <c r="B8" s="27" t="s">
        <v>21</v>
      </c>
      <c r="C8" s="24" t="s">
        <v>24</v>
      </c>
      <c r="D8" s="31">
        <v>2</v>
      </c>
      <c r="E8" s="32">
        <v>4</v>
      </c>
      <c r="F8" s="33">
        <f t="shared" si="0"/>
        <v>0.5</v>
      </c>
      <c r="G8" s="49"/>
    </row>
    <row r="9" spans="1:7" x14ac:dyDescent="0.3">
      <c r="A9" s="48">
        <v>45688</v>
      </c>
      <c r="B9" s="27" t="s">
        <v>21</v>
      </c>
      <c r="C9" s="24" t="s">
        <v>42</v>
      </c>
      <c r="D9" s="31">
        <v>6</v>
      </c>
      <c r="E9" s="32">
        <v>6</v>
      </c>
      <c r="F9" s="33">
        <f t="shared" si="0"/>
        <v>1</v>
      </c>
      <c r="G9" s="49"/>
    </row>
    <row r="10" spans="1:7" x14ac:dyDescent="0.3">
      <c r="A10" s="48">
        <v>45688</v>
      </c>
      <c r="B10" s="27" t="s">
        <v>23</v>
      </c>
      <c r="C10" s="24" t="s">
        <v>24</v>
      </c>
      <c r="D10" s="31">
        <v>0</v>
      </c>
      <c r="E10" s="32">
        <v>4</v>
      </c>
      <c r="F10" s="33">
        <f t="shared" si="0"/>
        <v>0</v>
      </c>
      <c r="G10" s="49"/>
    </row>
    <row r="11" spans="1:7" x14ac:dyDescent="0.3">
      <c r="A11" s="48">
        <v>45688</v>
      </c>
      <c r="B11" s="27" t="s">
        <v>23</v>
      </c>
      <c r="C11" s="24" t="s">
        <v>42</v>
      </c>
      <c r="D11" s="31">
        <v>6</v>
      </c>
      <c r="E11" s="32">
        <v>6</v>
      </c>
      <c r="F11" s="33">
        <f t="shared" si="0"/>
        <v>1</v>
      </c>
      <c r="G11" s="49"/>
    </row>
    <row r="12" spans="1:7" x14ac:dyDescent="0.3">
      <c r="A12" s="48">
        <v>45688</v>
      </c>
      <c r="B12" s="27" t="s">
        <v>22</v>
      </c>
      <c r="C12" s="24" t="s">
        <v>24</v>
      </c>
      <c r="D12" s="31">
        <v>2</v>
      </c>
      <c r="E12" s="32">
        <v>4</v>
      </c>
      <c r="F12" s="33">
        <f t="shared" si="0"/>
        <v>0.5</v>
      </c>
      <c r="G12" s="49"/>
    </row>
    <row r="13" spans="1:7" x14ac:dyDescent="0.3">
      <c r="A13" s="48">
        <v>45688</v>
      </c>
      <c r="B13" s="27" t="s">
        <v>22</v>
      </c>
      <c r="C13" s="24" t="s">
        <v>42</v>
      </c>
      <c r="D13" s="31">
        <v>6</v>
      </c>
      <c r="E13" s="32">
        <v>6</v>
      </c>
      <c r="F13" s="33">
        <f t="shared" si="0"/>
        <v>1</v>
      </c>
      <c r="G13" s="49"/>
    </row>
    <row r="14" spans="1:7" x14ac:dyDescent="0.3">
      <c r="A14" s="48">
        <v>45688</v>
      </c>
      <c r="B14" s="27" t="s">
        <v>36</v>
      </c>
      <c r="C14" s="24" t="s">
        <v>24</v>
      </c>
      <c r="D14" s="31">
        <v>1</v>
      </c>
      <c r="E14" s="32">
        <v>2</v>
      </c>
      <c r="F14" s="33">
        <f t="shared" si="0"/>
        <v>0.5</v>
      </c>
      <c r="G14" s="49"/>
    </row>
    <row r="15" spans="1:7" ht="26.4" x14ac:dyDescent="0.3">
      <c r="A15" s="48">
        <v>45688</v>
      </c>
      <c r="B15" s="27" t="s">
        <v>36</v>
      </c>
      <c r="C15" s="24" t="s">
        <v>62</v>
      </c>
      <c r="D15" s="31">
        <v>2</v>
      </c>
      <c r="E15" s="32">
        <v>2</v>
      </c>
      <c r="F15" s="33">
        <f>D15/E15</f>
        <v>1</v>
      </c>
      <c r="G15" s="49"/>
    </row>
    <row r="16" spans="1:7" x14ac:dyDescent="0.3">
      <c r="A16" s="48">
        <v>45688</v>
      </c>
      <c r="B16" s="27" t="s">
        <v>36</v>
      </c>
      <c r="C16" s="24" t="s">
        <v>42</v>
      </c>
      <c r="D16" s="31">
        <v>6</v>
      </c>
      <c r="E16" s="32">
        <v>6</v>
      </c>
      <c r="F16" s="33">
        <f t="shared" ref="F16:F18" si="1">D16/E16</f>
        <v>1</v>
      </c>
      <c r="G16" s="49"/>
    </row>
    <row r="17" spans="1:7" x14ac:dyDescent="0.3">
      <c r="A17" s="48">
        <v>45688</v>
      </c>
      <c r="B17" s="27" t="s">
        <v>36</v>
      </c>
      <c r="C17" s="29" t="s">
        <v>38</v>
      </c>
      <c r="D17" s="31">
        <v>1</v>
      </c>
      <c r="E17" s="32">
        <v>1</v>
      </c>
      <c r="F17" s="33">
        <f t="shared" si="1"/>
        <v>1</v>
      </c>
      <c r="G17" s="49"/>
    </row>
    <row r="18" spans="1:7" x14ac:dyDescent="0.3">
      <c r="A18" s="48">
        <v>45688</v>
      </c>
      <c r="B18" s="27" t="s">
        <v>36</v>
      </c>
      <c r="C18" s="29" t="s">
        <v>39</v>
      </c>
      <c r="D18" s="31">
        <v>1</v>
      </c>
      <c r="E18" s="32">
        <v>1</v>
      </c>
      <c r="F18" s="33">
        <f t="shared" si="1"/>
        <v>1</v>
      </c>
      <c r="G18" s="49"/>
    </row>
    <row r="19" spans="1:7" x14ac:dyDescent="0.3">
      <c r="A19" s="48">
        <v>45716</v>
      </c>
      <c r="B19" s="27" t="s">
        <v>54</v>
      </c>
      <c r="C19" s="24" t="s">
        <v>24</v>
      </c>
      <c r="D19" s="31">
        <v>5</v>
      </c>
      <c r="E19" s="32">
        <v>4</v>
      </c>
      <c r="F19" s="33">
        <f>D19/E19</f>
        <v>1.25</v>
      </c>
      <c r="G19" s="49"/>
    </row>
    <row r="20" spans="1:7" x14ac:dyDescent="0.3">
      <c r="A20" s="48">
        <v>45716</v>
      </c>
      <c r="B20" s="27" t="s">
        <v>54</v>
      </c>
      <c r="C20" s="24" t="s">
        <v>42</v>
      </c>
      <c r="D20" s="31">
        <v>5</v>
      </c>
      <c r="E20" s="32">
        <v>4</v>
      </c>
      <c r="F20" s="33">
        <f t="shared" ref="F20:F31" si="2">D20/E20</f>
        <v>1.25</v>
      </c>
      <c r="G20" s="49"/>
    </row>
    <row r="21" spans="1:7" ht="12" customHeight="1" x14ac:dyDescent="0.3">
      <c r="A21" s="48">
        <v>45716</v>
      </c>
      <c r="B21" s="27" t="s">
        <v>54</v>
      </c>
      <c r="C21" s="24" t="s">
        <v>40</v>
      </c>
      <c r="D21" s="31">
        <v>1</v>
      </c>
      <c r="E21" s="32">
        <v>1</v>
      </c>
      <c r="F21" s="33">
        <f t="shared" si="2"/>
        <v>1</v>
      </c>
      <c r="G21" s="49"/>
    </row>
    <row r="22" spans="1:7" x14ac:dyDescent="0.3">
      <c r="A22" s="48">
        <v>45716</v>
      </c>
      <c r="B22" s="27" t="s">
        <v>54</v>
      </c>
      <c r="C22" s="24" t="s">
        <v>41</v>
      </c>
      <c r="D22" s="31">
        <v>1</v>
      </c>
      <c r="E22" s="32">
        <v>1</v>
      </c>
      <c r="F22" s="33">
        <f t="shared" si="2"/>
        <v>1</v>
      </c>
      <c r="G22" s="49"/>
    </row>
    <row r="23" spans="1:7" x14ac:dyDescent="0.3">
      <c r="A23" s="48">
        <v>45716</v>
      </c>
      <c r="B23" s="27" t="s">
        <v>43</v>
      </c>
      <c r="C23" s="24" t="s">
        <v>24</v>
      </c>
      <c r="D23" s="31">
        <v>7</v>
      </c>
      <c r="E23" s="32">
        <v>4</v>
      </c>
      <c r="F23" s="33">
        <f t="shared" si="2"/>
        <v>1.75</v>
      </c>
      <c r="G23" s="49"/>
    </row>
    <row r="24" spans="1:7" x14ac:dyDescent="0.3">
      <c r="A24" s="48">
        <v>45716</v>
      </c>
      <c r="B24" s="27" t="s">
        <v>43</v>
      </c>
      <c r="C24" s="24" t="s">
        <v>45</v>
      </c>
      <c r="D24" s="31">
        <v>4</v>
      </c>
      <c r="E24" s="32">
        <v>3</v>
      </c>
      <c r="F24" s="33">
        <f t="shared" si="2"/>
        <v>1.3333333333333333</v>
      </c>
      <c r="G24" s="49"/>
    </row>
    <row r="25" spans="1:7" x14ac:dyDescent="0.3">
      <c r="A25" s="48">
        <v>45716</v>
      </c>
      <c r="B25" s="27" t="s">
        <v>21</v>
      </c>
      <c r="C25" s="24" t="s">
        <v>24</v>
      </c>
      <c r="D25" s="31">
        <v>2</v>
      </c>
      <c r="E25" s="32">
        <v>4</v>
      </c>
      <c r="F25" s="33">
        <f t="shared" si="2"/>
        <v>0.5</v>
      </c>
      <c r="G25" s="49"/>
    </row>
    <row r="26" spans="1:7" x14ac:dyDescent="0.3">
      <c r="A26" s="48">
        <v>45716</v>
      </c>
      <c r="B26" s="27" t="s">
        <v>21</v>
      </c>
      <c r="C26" s="24" t="s">
        <v>42</v>
      </c>
      <c r="D26" s="31">
        <v>8</v>
      </c>
      <c r="E26" s="32">
        <v>6</v>
      </c>
      <c r="F26" s="33">
        <f t="shared" si="2"/>
        <v>1.3333333333333333</v>
      </c>
      <c r="G26" s="49"/>
    </row>
    <row r="27" spans="1:7" x14ac:dyDescent="0.3">
      <c r="A27" s="48">
        <v>45716</v>
      </c>
      <c r="B27" s="27" t="s">
        <v>23</v>
      </c>
      <c r="C27" s="24" t="s">
        <v>24</v>
      </c>
      <c r="D27" s="31">
        <v>4</v>
      </c>
      <c r="E27" s="32">
        <v>4</v>
      </c>
      <c r="F27" s="33">
        <f t="shared" si="2"/>
        <v>1</v>
      </c>
      <c r="G27" s="49"/>
    </row>
    <row r="28" spans="1:7" x14ac:dyDescent="0.3">
      <c r="A28" s="48">
        <v>45716</v>
      </c>
      <c r="B28" s="27" t="s">
        <v>23</v>
      </c>
      <c r="C28" s="24" t="s">
        <v>42</v>
      </c>
      <c r="D28" s="31">
        <v>6</v>
      </c>
      <c r="E28" s="32">
        <v>6</v>
      </c>
      <c r="F28" s="33">
        <f t="shared" si="2"/>
        <v>1</v>
      </c>
      <c r="G28" s="49"/>
    </row>
    <row r="29" spans="1:7" x14ac:dyDescent="0.3">
      <c r="A29" s="48">
        <v>45716</v>
      </c>
      <c r="B29" s="27" t="s">
        <v>22</v>
      </c>
      <c r="C29" s="24" t="s">
        <v>24</v>
      </c>
      <c r="D29" s="31">
        <v>7</v>
      </c>
      <c r="E29" s="32">
        <v>4</v>
      </c>
      <c r="F29" s="33">
        <f t="shared" si="2"/>
        <v>1.75</v>
      </c>
      <c r="G29" s="49"/>
    </row>
    <row r="30" spans="1:7" x14ac:dyDescent="0.3">
      <c r="A30" s="48">
        <v>45716</v>
      </c>
      <c r="B30" s="27" t="s">
        <v>22</v>
      </c>
      <c r="C30" s="24" t="s">
        <v>42</v>
      </c>
      <c r="D30" s="31">
        <v>6</v>
      </c>
      <c r="E30" s="32">
        <v>6</v>
      </c>
      <c r="F30" s="33">
        <f t="shared" si="2"/>
        <v>1</v>
      </c>
      <c r="G30" s="49"/>
    </row>
    <row r="31" spans="1:7" x14ac:dyDescent="0.3">
      <c r="A31" s="48">
        <v>45716</v>
      </c>
      <c r="B31" s="27" t="s">
        <v>36</v>
      </c>
      <c r="C31" s="24" t="s">
        <v>24</v>
      </c>
      <c r="D31" s="31">
        <v>1</v>
      </c>
      <c r="E31" s="32">
        <v>2</v>
      </c>
      <c r="F31" s="33">
        <f t="shared" si="2"/>
        <v>0.5</v>
      </c>
      <c r="G31" s="49"/>
    </row>
    <row r="32" spans="1:7" ht="26.4" x14ac:dyDescent="0.3">
      <c r="A32" s="48">
        <v>45716</v>
      </c>
      <c r="B32" s="27" t="s">
        <v>36</v>
      </c>
      <c r="C32" s="24" t="s">
        <v>62</v>
      </c>
      <c r="D32" s="31">
        <v>2</v>
      </c>
      <c r="E32" s="32">
        <v>2</v>
      </c>
      <c r="F32" s="33">
        <f>D32/E32</f>
        <v>1</v>
      </c>
      <c r="G32" s="49"/>
    </row>
    <row r="33" spans="1:7" x14ac:dyDescent="0.3">
      <c r="A33" s="48">
        <v>45716</v>
      </c>
      <c r="B33" s="27" t="s">
        <v>36</v>
      </c>
      <c r="C33" s="24" t="s">
        <v>42</v>
      </c>
      <c r="D33" s="31">
        <v>0</v>
      </c>
      <c r="E33" s="32">
        <v>6</v>
      </c>
      <c r="F33" s="33">
        <f t="shared" ref="F33" si="3">D33/E33</f>
        <v>0</v>
      </c>
      <c r="G33" s="49"/>
    </row>
    <row r="34" spans="1:7" x14ac:dyDescent="0.3">
      <c r="A34" s="48">
        <v>45716</v>
      </c>
      <c r="B34" s="27" t="s">
        <v>36</v>
      </c>
      <c r="C34" s="29" t="s">
        <v>38</v>
      </c>
      <c r="D34" s="31">
        <v>1</v>
      </c>
      <c r="E34" s="32">
        <v>1</v>
      </c>
      <c r="F34" s="33">
        <f t="shared" ref="F34:F35" si="4">D34/E34</f>
        <v>1</v>
      </c>
      <c r="G34" s="49"/>
    </row>
    <row r="35" spans="1:7" x14ac:dyDescent="0.3">
      <c r="A35" s="48">
        <v>45716</v>
      </c>
      <c r="B35" s="27" t="s">
        <v>36</v>
      </c>
      <c r="C35" s="29" t="s">
        <v>39</v>
      </c>
      <c r="D35" s="31">
        <v>1</v>
      </c>
      <c r="E35" s="32">
        <v>1</v>
      </c>
      <c r="F35" s="33">
        <f t="shared" si="4"/>
        <v>1</v>
      </c>
      <c r="G35" s="49"/>
    </row>
    <row r="36" spans="1:7" x14ac:dyDescent="0.3">
      <c r="A36" s="48">
        <v>45747</v>
      </c>
      <c r="B36" s="27" t="s">
        <v>54</v>
      </c>
      <c r="C36" s="24" t="s">
        <v>24</v>
      </c>
      <c r="D36" s="31">
        <v>4</v>
      </c>
      <c r="E36" s="32">
        <v>4</v>
      </c>
      <c r="F36" s="33">
        <f>D36/E36</f>
        <v>1</v>
      </c>
      <c r="G36" s="49"/>
    </row>
    <row r="37" spans="1:7" x14ac:dyDescent="0.3">
      <c r="A37" s="48">
        <v>45747</v>
      </c>
      <c r="B37" s="27" t="s">
        <v>54</v>
      </c>
      <c r="C37" s="24" t="s">
        <v>42</v>
      </c>
      <c r="D37" s="31">
        <v>4</v>
      </c>
      <c r="E37" s="32">
        <v>4</v>
      </c>
      <c r="F37" s="33">
        <f t="shared" ref="F37:F50" si="5">D37/E37</f>
        <v>1</v>
      </c>
      <c r="G37" s="49"/>
    </row>
    <row r="38" spans="1:7" ht="26.4" x14ac:dyDescent="0.3">
      <c r="A38" s="48">
        <v>45747</v>
      </c>
      <c r="B38" s="27" t="s">
        <v>54</v>
      </c>
      <c r="C38" s="24" t="s">
        <v>40</v>
      </c>
      <c r="D38" s="31">
        <v>1</v>
      </c>
      <c r="E38" s="32">
        <v>1</v>
      </c>
      <c r="F38" s="33">
        <f t="shared" si="5"/>
        <v>1</v>
      </c>
      <c r="G38" s="49"/>
    </row>
    <row r="39" spans="1:7" x14ac:dyDescent="0.3">
      <c r="A39" s="48">
        <v>45747</v>
      </c>
      <c r="B39" s="27" t="s">
        <v>54</v>
      </c>
      <c r="C39" s="24" t="s">
        <v>41</v>
      </c>
      <c r="D39" s="31">
        <v>1</v>
      </c>
      <c r="E39" s="32">
        <v>1</v>
      </c>
      <c r="F39" s="33">
        <f t="shared" si="5"/>
        <v>1</v>
      </c>
      <c r="G39" s="49"/>
    </row>
    <row r="40" spans="1:7" x14ac:dyDescent="0.3">
      <c r="A40" s="48">
        <v>45747</v>
      </c>
      <c r="B40" s="27" t="s">
        <v>43</v>
      </c>
      <c r="C40" s="24" t="s">
        <v>24</v>
      </c>
      <c r="D40" s="31">
        <v>11</v>
      </c>
      <c r="E40" s="32">
        <v>4</v>
      </c>
      <c r="F40" s="33">
        <f t="shared" si="5"/>
        <v>2.75</v>
      </c>
      <c r="G40" s="49"/>
    </row>
    <row r="41" spans="1:7" x14ac:dyDescent="0.3">
      <c r="A41" s="48">
        <v>45747</v>
      </c>
      <c r="B41" s="27" t="s">
        <v>43</v>
      </c>
      <c r="C41" s="24" t="s">
        <v>45</v>
      </c>
      <c r="D41" s="31">
        <v>4</v>
      </c>
      <c r="E41" s="32">
        <v>3</v>
      </c>
      <c r="F41" s="33">
        <f t="shared" si="5"/>
        <v>1.3333333333333333</v>
      </c>
      <c r="G41" s="49"/>
    </row>
    <row r="42" spans="1:7" x14ac:dyDescent="0.3">
      <c r="A42" s="48">
        <v>45747</v>
      </c>
      <c r="B42" s="27" t="s">
        <v>21</v>
      </c>
      <c r="C42" s="24" t="s">
        <v>24</v>
      </c>
      <c r="D42" s="31">
        <v>6</v>
      </c>
      <c r="E42" s="32">
        <v>4</v>
      </c>
      <c r="F42" s="33">
        <f t="shared" si="5"/>
        <v>1.5</v>
      </c>
      <c r="G42" s="49"/>
    </row>
    <row r="43" spans="1:7" x14ac:dyDescent="0.3">
      <c r="A43" s="48">
        <v>45747</v>
      </c>
      <c r="B43" s="27" t="s">
        <v>21</v>
      </c>
      <c r="C43" s="24" t="s">
        <v>42</v>
      </c>
      <c r="D43" s="31">
        <v>7</v>
      </c>
      <c r="E43" s="32">
        <v>6</v>
      </c>
      <c r="F43" s="33">
        <f t="shared" si="5"/>
        <v>1.1666666666666667</v>
      </c>
      <c r="G43" s="49"/>
    </row>
    <row r="44" spans="1:7" x14ac:dyDescent="0.3">
      <c r="A44" s="48">
        <v>45747</v>
      </c>
      <c r="B44" s="27" t="s">
        <v>23</v>
      </c>
      <c r="C44" s="24" t="s">
        <v>24</v>
      </c>
      <c r="D44" s="31">
        <v>6</v>
      </c>
      <c r="E44" s="32">
        <v>4</v>
      </c>
      <c r="F44" s="33">
        <f t="shared" si="5"/>
        <v>1.5</v>
      </c>
      <c r="G44" s="49"/>
    </row>
    <row r="45" spans="1:7" x14ac:dyDescent="0.3">
      <c r="A45" s="48">
        <v>45747</v>
      </c>
      <c r="B45" s="27" t="s">
        <v>23</v>
      </c>
      <c r="C45" s="24" t="s">
        <v>42</v>
      </c>
      <c r="D45" s="31">
        <v>6</v>
      </c>
      <c r="E45" s="32">
        <v>6</v>
      </c>
      <c r="F45" s="33">
        <f t="shared" si="5"/>
        <v>1</v>
      </c>
      <c r="G45" s="49"/>
    </row>
    <row r="46" spans="1:7" x14ac:dyDescent="0.3">
      <c r="A46" s="48">
        <v>45747</v>
      </c>
      <c r="B46" s="27" t="s">
        <v>22</v>
      </c>
      <c r="C46" s="24" t="s">
        <v>24</v>
      </c>
      <c r="D46" s="31">
        <v>6</v>
      </c>
      <c r="E46" s="32">
        <v>4</v>
      </c>
      <c r="F46" s="33">
        <f t="shared" si="5"/>
        <v>1.5</v>
      </c>
      <c r="G46" s="49"/>
    </row>
    <row r="47" spans="1:7" x14ac:dyDescent="0.3">
      <c r="A47" s="48">
        <v>45747</v>
      </c>
      <c r="B47" s="27" t="s">
        <v>22</v>
      </c>
      <c r="C47" s="24" t="s">
        <v>42</v>
      </c>
      <c r="D47" s="31">
        <v>7</v>
      </c>
      <c r="E47" s="32">
        <v>6</v>
      </c>
      <c r="F47" s="33">
        <f t="shared" si="5"/>
        <v>1.1666666666666667</v>
      </c>
      <c r="G47" s="49"/>
    </row>
    <row r="48" spans="1:7" x14ac:dyDescent="0.3">
      <c r="A48" s="48">
        <v>45747</v>
      </c>
      <c r="B48" s="42" t="s">
        <v>63</v>
      </c>
      <c r="C48" s="24" t="s">
        <v>24</v>
      </c>
      <c r="D48" s="31">
        <v>6</v>
      </c>
      <c r="E48" s="32">
        <v>4</v>
      </c>
      <c r="F48" s="33">
        <f t="shared" ref="F48:F49" si="6">D48/E48</f>
        <v>1.5</v>
      </c>
      <c r="G48" s="49"/>
    </row>
    <row r="49" spans="1:7" x14ac:dyDescent="0.3">
      <c r="A49" s="48">
        <v>45747</v>
      </c>
      <c r="B49" s="42" t="s">
        <v>63</v>
      </c>
      <c r="C49" s="24" t="s">
        <v>42</v>
      </c>
      <c r="D49" s="31">
        <v>2</v>
      </c>
      <c r="E49" s="32">
        <v>2</v>
      </c>
      <c r="F49" s="33">
        <f t="shared" si="6"/>
        <v>1</v>
      </c>
      <c r="G49" s="49"/>
    </row>
    <row r="50" spans="1:7" x14ac:dyDescent="0.3">
      <c r="A50" s="48">
        <v>45747</v>
      </c>
      <c r="B50" s="27" t="s">
        <v>36</v>
      </c>
      <c r="C50" s="24" t="s">
        <v>24</v>
      </c>
      <c r="D50" s="31">
        <v>0</v>
      </c>
      <c r="E50" s="32">
        <v>2</v>
      </c>
      <c r="F50" s="33">
        <f t="shared" si="5"/>
        <v>0</v>
      </c>
      <c r="G50" s="49"/>
    </row>
    <row r="51" spans="1:7" ht="26.4" x14ac:dyDescent="0.3">
      <c r="A51" s="48">
        <v>45747</v>
      </c>
      <c r="B51" s="27" t="s">
        <v>36</v>
      </c>
      <c r="C51" s="24" t="s">
        <v>62</v>
      </c>
      <c r="D51" s="31">
        <v>0</v>
      </c>
      <c r="E51" s="32">
        <v>2</v>
      </c>
      <c r="F51" s="33">
        <f>D51/E51</f>
        <v>0</v>
      </c>
      <c r="G51" s="49"/>
    </row>
    <row r="52" spans="1:7" x14ac:dyDescent="0.3">
      <c r="A52" s="48">
        <v>45747</v>
      </c>
      <c r="B52" s="27" t="s">
        <v>36</v>
      </c>
      <c r="C52" s="24" t="s">
        <v>42</v>
      </c>
      <c r="D52" s="31">
        <v>4</v>
      </c>
      <c r="E52" s="32">
        <v>6</v>
      </c>
      <c r="F52" s="33">
        <f t="shared" ref="F52:F65" si="7">D52/E52</f>
        <v>0.66666666666666663</v>
      </c>
      <c r="G52" s="49"/>
    </row>
    <row r="53" spans="1:7" x14ac:dyDescent="0.3">
      <c r="A53" s="48">
        <v>45747</v>
      </c>
      <c r="B53" s="27" t="s">
        <v>36</v>
      </c>
      <c r="C53" s="29" t="s">
        <v>38</v>
      </c>
      <c r="D53" s="31">
        <v>1</v>
      </c>
      <c r="E53" s="32">
        <v>1</v>
      </c>
      <c r="F53" s="33">
        <f t="shared" si="7"/>
        <v>1</v>
      </c>
      <c r="G53" s="49"/>
    </row>
    <row r="54" spans="1:7" x14ac:dyDescent="0.3">
      <c r="A54" s="48">
        <v>45747</v>
      </c>
      <c r="B54" s="43" t="s">
        <v>36</v>
      </c>
      <c r="C54" s="44" t="s">
        <v>39</v>
      </c>
      <c r="D54" s="45">
        <v>1</v>
      </c>
      <c r="E54" s="46">
        <v>1</v>
      </c>
      <c r="F54" s="47">
        <f t="shared" si="7"/>
        <v>1</v>
      </c>
      <c r="G54" s="50"/>
    </row>
    <row r="55" spans="1:7" x14ac:dyDescent="0.3">
      <c r="A55" s="48">
        <v>45777</v>
      </c>
      <c r="B55" s="27" t="s">
        <v>43</v>
      </c>
      <c r="C55" s="24" t="s">
        <v>24</v>
      </c>
      <c r="D55" s="31">
        <v>7</v>
      </c>
      <c r="E55" s="32">
        <v>4</v>
      </c>
      <c r="F55" s="33">
        <f t="shared" si="7"/>
        <v>1.75</v>
      </c>
      <c r="G55" s="49"/>
    </row>
    <row r="56" spans="1:7" x14ac:dyDescent="0.3">
      <c r="A56" s="48">
        <v>45777</v>
      </c>
      <c r="B56" s="27" t="s">
        <v>43</v>
      </c>
      <c r="C56" s="24" t="s">
        <v>45</v>
      </c>
      <c r="D56" s="31">
        <v>4</v>
      </c>
      <c r="E56" s="32">
        <v>3</v>
      </c>
      <c r="F56" s="33">
        <f t="shared" si="7"/>
        <v>1.3333333333333333</v>
      </c>
      <c r="G56" s="49"/>
    </row>
    <row r="57" spans="1:7" x14ac:dyDescent="0.3">
      <c r="A57" s="48">
        <v>45777</v>
      </c>
      <c r="B57" s="27" t="s">
        <v>21</v>
      </c>
      <c r="C57" s="24" t="s">
        <v>24</v>
      </c>
      <c r="D57" s="31">
        <v>0</v>
      </c>
      <c r="E57" s="32">
        <v>0</v>
      </c>
      <c r="F57" s="33"/>
      <c r="G57" s="49" t="s">
        <v>64</v>
      </c>
    </row>
    <row r="58" spans="1:7" x14ac:dyDescent="0.3">
      <c r="A58" s="48">
        <v>45777</v>
      </c>
      <c r="B58" s="27" t="s">
        <v>21</v>
      </c>
      <c r="C58" s="24" t="s">
        <v>42</v>
      </c>
      <c r="D58" s="31">
        <v>0</v>
      </c>
      <c r="E58" s="32">
        <v>0</v>
      </c>
      <c r="F58" s="33"/>
      <c r="G58" s="49" t="s">
        <v>64</v>
      </c>
    </row>
    <row r="59" spans="1:7" x14ac:dyDescent="0.3">
      <c r="A59" s="48">
        <v>45777</v>
      </c>
      <c r="B59" s="27" t="s">
        <v>23</v>
      </c>
      <c r="C59" s="24" t="s">
        <v>24</v>
      </c>
      <c r="D59" s="31">
        <v>4</v>
      </c>
      <c r="E59" s="32">
        <v>4</v>
      </c>
      <c r="F59" s="33">
        <f t="shared" si="7"/>
        <v>1</v>
      </c>
      <c r="G59" s="49"/>
    </row>
    <row r="60" spans="1:7" x14ac:dyDescent="0.3">
      <c r="A60" s="48">
        <v>45777</v>
      </c>
      <c r="B60" s="27" t="s">
        <v>23</v>
      </c>
      <c r="C60" s="24" t="s">
        <v>42</v>
      </c>
      <c r="D60" s="31">
        <v>4</v>
      </c>
      <c r="E60" s="32">
        <v>6</v>
      </c>
      <c r="F60" s="33">
        <f t="shared" si="7"/>
        <v>0.66666666666666663</v>
      </c>
      <c r="G60" s="49"/>
    </row>
    <row r="61" spans="1:7" x14ac:dyDescent="0.3">
      <c r="A61" s="48">
        <v>45777</v>
      </c>
      <c r="B61" s="27" t="s">
        <v>22</v>
      </c>
      <c r="C61" s="24" t="s">
        <v>24</v>
      </c>
      <c r="D61" s="31">
        <v>0</v>
      </c>
      <c r="E61" s="32">
        <v>0</v>
      </c>
      <c r="F61" s="33"/>
      <c r="G61" s="49" t="s">
        <v>65</v>
      </c>
    </row>
    <row r="62" spans="1:7" x14ac:dyDescent="0.3">
      <c r="A62" s="48">
        <v>45777</v>
      </c>
      <c r="B62" s="27" t="s">
        <v>22</v>
      </c>
      <c r="C62" s="24" t="s">
        <v>42</v>
      </c>
      <c r="D62" s="31">
        <v>2</v>
      </c>
      <c r="E62" s="32">
        <v>0</v>
      </c>
      <c r="F62" s="33"/>
      <c r="G62" s="49" t="s">
        <v>65</v>
      </c>
    </row>
    <row r="63" spans="1:7" x14ac:dyDescent="0.3">
      <c r="A63" s="48">
        <v>45777</v>
      </c>
      <c r="B63" s="42" t="s">
        <v>63</v>
      </c>
      <c r="C63" s="24" t="s">
        <v>24</v>
      </c>
      <c r="D63" s="31">
        <v>4</v>
      </c>
      <c r="E63" s="32">
        <v>4</v>
      </c>
      <c r="F63" s="33">
        <f t="shared" si="7"/>
        <v>1</v>
      </c>
      <c r="G63" s="49"/>
    </row>
    <row r="64" spans="1:7" x14ac:dyDescent="0.3">
      <c r="A64" s="48">
        <v>45777</v>
      </c>
      <c r="B64" s="42" t="s">
        <v>63</v>
      </c>
      <c r="C64" s="24" t="s">
        <v>42</v>
      </c>
      <c r="D64" s="31">
        <v>7</v>
      </c>
      <c r="E64" s="32">
        <v>6</v>
      </c>
      <c r="F64" s="33">
        <f t="shared" si="7"/>
        <v>1.1666666666666667</v>
      </c>
      <c r="G64" s="49"/>
    </row>
    <row r="65" spans="1:7" x14ac:dyDescent="0.3">
      <c r="A65" s="48">
        <v>45777</v>
      </c>
      <c r="B65" s="27" t="s">
        <v>36</v>
      </c>
      <c r="C65" s="24" t="s">
        <v>24</v>
      </c>
      <c r="D65" s="31">
        <v>0</v>
      </c>
      <c r="E65" s="32">
        <v>2</v>
      </c>
      <c r="F65" s="33">
        <f t="shared" si="7"/>
        <v>0</v>
      </c>
      <c r="G65" s="49"/>
    </row>
    <row r="66" spans="1:7" ht="26.4" x14ac:dyDescent="0.3">
      <c r="A66" s="48">
        <v>45777</v>
      </c>
      <c r="B66" s="27" t="s">
        <v>36</v>
      </c>
      <c r="C66" s="24" t="s">
        <v>62</v>
      </c>
      <c r="D66" s="31">
        <v>0</v>
      </c>
      <c r="E66" s="32">
        <v>2</v>
      </c>
      <c r="F66" s="33">
        <f>D66/E66</f>
        <v>0</v>
      </c>
      <c r="G66" s="49"/>
    </row>
    <row r="67" spans="1:7" x14ac:dyDescent="0.3">
      <c r="A67" s="48">
        <v>45777</v>
      </c>
      <c r="B67" s="27" t="s">
        <v>36</v>
      </c>
      <c r="C67" s="24" t="s">
        <v>42</v>
      </c>
      <c r="D67" s="31">
        <v>4</v>
      </c>
      <c r="E67" s="32">
        <v>6</v>
      </c>
      <c r="F67" s="33">
        <f t="shared" ref="F67:F73" si="8">D67/E67</f>
        <v>0.66666666666666663</v>
      </c>
      <c r="G67" s="49"/>
    </row>
    <row r="68" spans="1:7" x14ac:dyDescent="0.3">
      <c r="A68" s="48">
        <v>45777</v>
      </c>
      <c r="B68" s="27" t="s">
        <v>36</v>
      </c>
      <c r="C68" s="29" t="s">
        <v>38</v>
      </c>
      <c r="D68" s="31">
        <v>1</v>
      </c>
      <c r="E68" s="32">
        <v>1</v>
      </c>
      <c r="F68" s="33">
        <f t="shared" si="8"/>
        <v>1</v>
      </c>
      <c r="G68" s="49"/>
    </row>
    <row r="69" spans="1:7" x14ac:dyDescent="0.3">
      <c r="A69" s="48">
        <v>45777</v>
      </c>
      <c r="B69" s="43" t="s">
        <v>36</v>
      </c>
      <c r="C69" s="44" t="s">
        <v>39</v>
      </c>
      <c r="D69" s="45">
        <v>1</v>
      </c>
      <c r="E69" s="46">
        <v>1</v>
      </c>
      <c r="F69" s="47">
        <f t="shared" si="8"/>
        <v>1</v>
      </c>
      <c r="G69" s="49"/>
    </row>
    <row r="70" spans="1:7" x14ac:dyDescent="0.3">
      <c r="A70" s="48">
        <v>45808</v>
      </c>
      <c r="B70" s="27" t="s">
        <v>43</v>
      </c>
      <c r="C70" s="24" t="s">
        <v>24</v>
      </c>
      <c r="D70" s="31">
        <v>6</v>
      </c>
      <c r="E70" s="32">
        <v>2</v>
      </c>
      <c r="F70" s="33">
        <f t="shared" si="8"/>
        <v>3</v>
      </c>
      <c r="G70" s="49"/>
    </row>
    <row r="71" spans="1:7" x14ac:dyDescent="0.3">
      <c r="A71" s="48">
        <v>45808</v>
      </c>
      <c r="B71" s="27" t="s">
        <v>43</v>
      </c>
      <c r="C71" s="24" t="s">
        <v>45</v>
      </c>
      <c r="D71" s="31">
        <v>4</v>
      </c>
      <c r="E71" s="32">
        <v>2</v>
      </c>
      <c r="F71" s="33">
        <f t="shared" si="8"/>
        <v>2</v>
      </c>
      <c r="G71" s="49"/>
    </row>
    <row r="72" spans="1:7" x14ac:dyDescent="0.3">
      <c r="A72" s="48">
        <v>45808</v>
      </c>
      <c r="B72" s="27" t="s">
        <v>21</v>
      </c>
      <c r="C72" s="24" t="s">
        <v>24</v>
      </c>
      <c r="D72" s="31">
        <v>4</v>
      </c>
      <c r="E72" s="32">
        <v>2</v>
      </c>
      <c r="F72" s="33">
        <f t="shared" si="8"/>
        <v>2</v>
      </c>
      <c r="G72" s="49" t="s">
        <v>66</v>
      </c>
    </row>
    <row r="73" spans="1:7" x14ac:dyDescent="0.3">
      <c r="A73" s="48">
        <v>45808</v>
      </c>
      <c r="B73" s="27" t="s">
        <v>21</v>
      </c>
      <c r="C73" s="24" t="s">
        <v>42</v>
      </c>
      <c r="D73" s="31">
        <v>4</v>
      </c>
      <c r="E73" s="32">
        <v>3</v>
      </c>
      <c r="F73" s="33">
        <f t="shared" si="8"/>
        <v>1.3333333333333333</v>
      </c>
      <c r="G73" s="49" t="s">
        <v>66</v>
      </c>
    </row>
    <row r="74" spans="1:7" x14ac:dyDescent="0.3">
      <c r="A74" s="48">
        <v>45808</v>
      </c>
      <c r="B74" s="27" t="s">
        <v>23</v>
      </c>
      <c r="C74" s="24" t="s">
        <v>24</v>
      </c>
      <c r="D74" s="31">
        <v>4</v>
      </c>
      <c r="E74" s="32">
        <v>4</v>
      </c>
      <c r="F74" s="33">
        <f t="shared" ref="F74:F75" si="9">D74/E74</f>
        <v>1</v>
      </c>
      <c r="G74" s="49"/>
    </row>
    <row r="75" spans="1:7" x14ac:dyDescent="0.3">
      <c r="A75" s="48">
        <v>45808</v>
      </c>
      <c r="B75" s="27" t="s">
        <v>23</v>
      </c>
      <c r="C75" s="24" t="s">
        <v>42</v>
      </c>
      <c r="D75" s="31">
        <v>0</v>
      </c>
      <c r="E75" s="32">
        <v>3</v>
      </c>
      <c r="F75" s="33">
        <f t="shared" si="9"/>
        <v>0</v>
      </c>
      <c r="G75" s="49"/>
    </row>
    <row r="76" spans="1:7" x14ac:dyDescent="0.3">
      <c r="A76" s="48">
        <v>45808</v>
      </c>
      <c r="B76" s="27" t="s">
        <v>22</v>
      </c>
      <c r="C76" s="24" t="s">
        <v>24</v>
      </c>
      <c r="D76" s="31">
        <v>0</v>
      </c>
      <c r="E76" s="32">
        <v>0</v>
      </c>
      <c r="F76" s="33"/>
      <c r="G76" s="49" t="s">
        <v>65</v>
      </c>
    </row>
    <row r="77" spans="1:7" x14ac:dyDescent="0.3">
      <c r="A77" s="48">
        <v>45808</v>
      </c>
      <c r="B77" s="27" t="s">
        <v>22</v>
      </c>
      <c r="C77" s="24" t="s">
        <v>42</v>
      </c>
      <c r="D77" s="31">
        <v>0</v>
      </c>
      <c r="E77" s="32">
        <v>0</v>
      </c>
      <c r="F77" s="33"/>
      <c r="G77" s="49" t="s">
        <v>65</v>
      </c>
    </row>
    <row r="78" spans="1:7" x14ac:dyDescent="0.3">
      <c r="A78" s="48">
        <v>45808</v>
      </c>
      <c r="B78" s="42" t="s">
        <v>63</v>
      </c>
      <c r="C78" s="24" t="s">
        <v>24</v>
      </c>
      <c r="D78" s="31">
        <v>2</v>
      </c>
      <c r="E78" s="32">
        <v>4</v>
      </c>
      <c r="F78" s="33">
        <f t="shared" ref="F78:F80" si="10">D78/E78</f>
        <v>0.5</v>
      </c>
      <c r="G78" s="49"/>
    </row>
    <row r="79" spans="1:7" x14ac:dyDescent="0.3">
      <c r="A79" s="48">
        <v>45808</v>
      </c>
      <c r="B79" s="42" t="s">
        <v>63</v>
      </c>
      <c r="C79" s="24" t="s">
        <v>42</v>
      </c>
      <c r="D79" s="31">
        <v>0</v>
      </c>
      <c r="E79" s="32">
        <v>3</v>
      </c>
      <c r="F79" s="33">
        <f t="shared" si="10"/>
        <v>0</v>
      </c>
      <c r="G79" s="49"/>
    </row>
    <row r="80" spans="1:7" x14ac:dyDescent="0.3">
      <c r="A80" s="48">
        <v>45808</v>
      </c>
      <c r="B80" s="27" t="s">
        <v>36</v>
      </c>
      <c r="C80" s="24" t="s">
        <v>24</v>
      </c>
      <c r="D80" s="31">
        <v>2</v>
      </c>
      <c r="E80" s="32">
        <v>2</v>
      </c>
      <c r="F80" s="33">
        <f t="shared" si="10"/>
        <v>1</v>
      </c>
      <c r="G80" s="49"/>
    </row>
    <row r="81" spans="1:7" ht="26.4" x14ac:dyDescent="0.3">
      <c r="A81" s="48">
        <v>45808</v>
      </c>
      <c r="B81" s="27" t="s">
        <v>36</v>
      </c>
      <c r="C81" s="24" t="s">
        <v>62</v>
      </c>
      <c r="D81" s="31">
        <v>0</v>
      </c>
      <c r="E81" s="32">
        <v>0</v>
      </c>
      <c r="F81" s="33">
        <v>0</v>
      </c>
      <c r="G81" s="49" t="s">
        <v>67</v>
      </c>
    </row>
    <row r="82" spans="1:7" x14ac:dyDescent="0.3">
      <c r="A82" s="48">
        <v>45808</v>
      </c>
      <c r="B82" s="27" t="s">
        <v>36</v>
      </c>
      <c r="C82" s="24" t="s">
        <v>42</v>
      </c>
      <c r="D82" s="31">
        <v>4</v>
      </c>
      <c r="E82" s="32">
        <v>3</v>
      </c>
      <c r="F82" s="33">
        <f t="shared" ref="F82:F103" si="11">D82/E82</f>
        <v>1.3333333333333333</v>
      </c>
      <c r="G82" s="49"/>
    </row>
    <row r="83" spans="1:7" x14ac:dyDescent="0.3">
      <c r="A83" s="48">
        <v>45808</v>
      </c>
      <c r="B83" s="27" t="s">
        <v>36</v>
      </c>
      <c r="C83" s="29" t="s">
        <v>38</v>
      </c>
      <c r="D83" s="31">
        <v>1</v>
      </c>
      <c r="E83" s="32">
        <v>1</v>
      </c>
      <c r="F83" s="33">
        <f t="shared" si="11"/>
        <v>1</v>
      </c>
      <c r="G83" s="49"/>
    </row>
    <row r="84" spans="1:7" x14ac:dyDescent="0.3">
      <c r="A84" s="48">
        <v>45808</v>
      </c>
      <c r="B84" s="43" t="s">
        <v>36</v>
      </c>
      <c r="C84" s="44" t="s">
        <v>39</v>
      </c>
      <c r="D84" s="45">
        <v>1</v>
      </c>
      <c r="E84" s="46">
        <v>1</v>
      </c>
      <c r="F84" s="47">
        <f t="shared" si="11"/>
        <v>1</v>
      </c>
      <c r="G84" s="49"/>
    </row>
    <row r="85" spans="1:7" x14ac:dyDescent="0.3">
      <c r="A85" s="48">
        <v>45838</v>
      </c>
      <c r="B85" s="27" t="s">
        <v>74</v>
      </c>
      <c r="C85" s="24" t="s">
        <v>24</v>
      </c>
      <c r="D85" s="31">
        <v>4</v>
      </c>
      <c r="E85" s="32">
        <v>4</v>
      </c>
      <c r="F85" s="33">
        <f t="shared" ref="F85:F86" si="12">D85/E85</f>
        <v>1</v>
      </c>
      <c r="G85" s="49"/>
    </row>
    <row r="86" spans="1:7" x14ac:dyDescent="0.3">
      <c r="A86" s="48">
        <v>45838</v>
      </c>
      <c r="B86" s="27" t="s">
        <v>74</v>
      </c>
      <c r="C86" s="24" t="s">
        <v>42</v>
      </c>
      <c r="D86" s="31">
        <v>3</v>
      </c>
      <c r="E86" s="32">
        <v>2</v>
      </c>
      <c r="F86" s="33">
        <f t="shared" si="12"/>
        <v>1.5</v>
      </c>
      <c r="G86" s="49"/>
    </row>
    <row r="87" spans="1:7" x14ac:dyDescent="0.3">
      <c r="A87" s="48">
        <v>45838</v>
      </c>
      <c r="B87" s="27" t="s">
        <v>43</v>
      </c>
      <c r="C87" s="24" t="s">
        <v>24</v>
      </c>
      <c r="D87" s="31">
        <v>10</v>
      </c>
      <c r="E87" s="32">
        <v>2</v>
      </c>
      <c r="F87" s="33">
        <f t="shared" si="11"/>
        <v>5</v>
      </c>
      <c r="G87" s="49"/>
    </row>
    <row r="88" spans="1:7" x14ac:dyDescent="0.3">
      <c r="A88" s="48">
        <v>45838</v>
      </c>
      <c r="B88" s="27" t="s">
        <v>43</v>
      </c>
      <c r="C88" s="24" t="s">
        <v>45</v>
      </c>
      <c r="D88" s="31">
        <v>4</v>
      </c>
      <c r="E88" s="32">
        <v>2</v>
      </c>
      <c r="F88" s="33">
        <f t="shared" si="11"/>
        <v>2</v>
      </c>
      <c r="G88" s="49"/>
    </row>
    <row r="89" spans="1:7" x14ac:dyDescent="0.3">
      <c r="A89" s="48">
        <v>45838</v>
      </c>
      <c r="B89" s="27" t="s">
        <v>21</v>
      </c>
      <c r="C89" s="24" t="s">
        <v>24</v>
      </c>
      <c r="D89" s="31">
        <v>4</v>
      </c>
      <c r="E89" s="32">
        <v>2</v>
      </c>
      <c r="F89" s="33">
        <f t="shared" si="11"/>
        <v>2</v>
      </c>
      <c r="G89" s="49"/>
    </row>
    <row r="90" spans="1:7" x14ac:dyDescent="0.3">
      <c r="A90" s="48">
        <v>45838</v>
      </c>
      <c r="B90" s="27" t="s">
        <v>21</v>
      </c>
      <c r="C90" s="24" t="s">
        <v>42</v>
      </c>
      <c r="D90" s="31">
        <v>4</v>
      </c>
      <c r="E90" s="32">
        <v>3</v>
      </c>
      <c r="F90" s="33">
        <f t="shared" si="11"/>
        <v>1.3333333333333333</v>
      </c>
      <c r="G90" s="49"/>
    </row>
    <row r="91" spans="1:7" x14ac:dyDescent="0.3">
      <c r="A91" s="48">
        <v>45838</v>
      </c>
      <c r="B91" s="27" t="s">
        <v>23</v>
      </c>
      <c r="C91" s="24" t="s">
        <v>24</v>
      </c>
      <c r="D91" s="31">
        <v>4</v>
      </c>
      <c r="E91" s="32">
        <v>4</v>
      </c>
      <c r="F91" s="33">
        <f t="shared" si="11"/>
        <v>1</v>
      </c>
      <c r="G91" s="49"/>
    </row>
    <row r="92" spans="1:7" x14ac:dyDescent="0.3">
      <c r="A92" s="48">
        <v>45838</v>
      </c>
      <c r="B92" s="27" t="s">
        <v>23</v>
      </c>
      <c r="C92" s="24" t="s">
        <v>42</v>
      </c>
      <c r="D92" s="31">
        <v>4</v>
      </c>
      <c r="E92" s="32">
        <v>3</v>
      </c>
      <c r="F92" s="33">
        <f t="shared" si="11"/>
        <v>1.3333333333333333</v>
      </c>
      <c r="G92" s="49"/>
    </row>
    <row r="93" spans="1:7" x14ac:dyDescent="0.3">
      <c r="A93" s="48">
        <v>45838</v>
      </c>
      <c r="B93" s="27" t="s">
        <v>22</v>
      </c>
      <c r="C93" s="24" t="s">
        <v>24</v>
      </c>
      <c r="D93" s="31"/>
      <c r="E93" s="32">
        <v>0</v>
      </c>
      <c r="F93" s="33" t="e">
        <f t="shared" si="11"/>
        <v>#DIV/0!</v>
      </c>
      <c r="G93" s="49" t="s">
        <v>65</v>
      </c>
    </row>
    <row r="94" spans="1:7" x14ac:dyDescent="0.3">
      <c r="A94" s="48">
        <v>45838</v>
      </c>
      <c r="B94" s="27" t="s">
        <v>22</v>
      </c>
      <c r="C94" s="24" t="s">
        <v>42</v>
      </c>
      <c r="D94" s="31"/>
      <c r="E94" s="32">
        <v>0</v>
      </c>
      <c r="F94" s="33" t="e">
        <f t="shared" si="11"/>
        <v>#DIV/0!</v>
      </c>
      <c r="G94" s="49" t="s">
        <v>65</v>
      </c>
    </row>
    <row r="95" spans="1:7" x14ac:dyDescent="0.3">
      <c r="A95" s="48">
        <v>45838</v>
      </c>
      <c r="B95" s="42" t="s">
        <v>63</v>
      </c>
      <c r="C95" s="24" t="s">
        <v>24</v>
      </c>
      <c r="D95" s="31">
        <v>3</v>
      </c>
      <c r="E95" s="32">
        <v>2</v>
      </c>
      <c r="F95" s="33">
        <f t="shared" si="11"/>
        <v>1.5</v>
      </c>
      <c r="G95" s="49" t="s">
        <v>75</v>
      </c>
    </row>
    <row r="96" spans="1:7" x14ac:dyDescent="0.3">
      <c r="A96" s="48">
        <v>45838</v>
      </c>
      <c r="B96" s="42" t="s">
        <v>63</v>
      </c>
      <c r="C96" s="24" t="s">
        <v>42</v>
      </c>
      <c r="D96" s="31">
        <v>3</v>
      </c>
      <c r="E96" s="32">
        <v>3</v>
      </c>
      <c r="F96" s="33">
        <f t="shared" si="11"/>
        <v>1</v>
      </c>
      <c r="G96" s="49"/>
    </row>
    <row r="97" spans="1:7" x14ac:dyDescent="0.3">
      <c r="A97" s="48">
        <v>45838</v>
      </c>
      <c r="B97" s="27" t="s">
        <v>36</v>
      </c>
      <c r="C97" s="24" t="s">
        <v>24</v>
      </c>
      <c r="D97" s="31">
        <v>0</v>
      </c>
      <c r="E97" s="32">
        <v>1</v>
      </c>
      <c r="F97" s="33">
        <f t="shared" si="11"/>
        <v>0</v>
      </c>
      <c r="G97" s="49" t="s">
        <v>75</v>
      </c>
    </row>
    <row r="98" spans="1:7" ht="26.4" x14ac:dyDescent="0.3">
      <c r="A98" s="48">
        <v>45838</v>
      </c>
      <c r="B98" s="27" t="s">
        <v>36</v>
      </c>
      <c r="C98" s="24" t="s">
        <v>62</v>
      </c>
      <c r="D98" s="31">
        <v>0</v>
      </c>
      <c r="E98" s="32">
        <v>1</v>
      </c>
      <c r="F98" s="33">
        <f t="shared" si="11"/>
        <v>0</v>
      </c>
      <c r="G98" s="49" t="s">
        <v>75</v>
      </c>
    </row>
    <row r="99" spans="1:7" x14ac:dyDescent="0.3">
      <c r="A99" s="48">
        <v>45838</v>
      </c>
      <c r="B99" s="27" t="s">
        <v>36</v>
      </c>
      <c r="C99" s="24" t="s">
        <v>42</v>
      </c>
      <c r="D99" s="31">
        <v>0</v>
      </c>
      <c r="E99" s="32">
        <v>3</v>
      </c>
      <c r="F99" s="33">
        <f t="shared" si="11"/>
        <v>0</v>
      </c>
      <c r="G99" s="49" t="s">
        <v>75</v>
      </c>
    </row>
    <row r="100" spans="1:7" x14ac:dyDescent="0.3">
      <c r="A100" s="48">
        <v>45838</v>
      </c>
      <c r="B100" s="27" t="s">
        <v>36</v>
      </c>
      <c r="C100" s="29" t="s">
        <v>38</v>
      </c>
      <c r="D100" s="31">
        <v>0</v>
      </c>
      <c r="E100" s="32">
        <v>0</v>
      </c>
      <c r="F100" s="33" t="e">
        <f t="shared" si="11"/>
        <v>#DIV/0!</v>
      </c>
      <c r="G100" s="49" t="s">
        <v>75</v>
      </c>
    </row>
    <row r="101" spans="1:7" x14ac:dyDescent="0.3">
      <c r="A101" s="48">
        <v>45838</v>
      </c>
      <c r="B101" s="43" t="s">
        <v>36</v>
      </c>
      <c r="C101" s="44" t="s">
        <v>39</v>
      </c>
      <c r="D101" s="45">
        <v>0</v>
      </c>
      <c r="E101" s="46">
        <v>0</v>
      </c>
      <c r="F101" s="33" t="e">
        <f t="shared" si="11"/>
        <v>#DIV/0!</v>
      </c>
      <c r="G101" s="49" t="s">
        <v>75</v>
      </c>
    </row>
    <row r="102" spans="1:7" x14ac:dyDescent="0.3">
      <c r="A102" s="48">
        <v>45869</v>
      </c>
      <c r="B102" s="27" t="s">
        <v>74</v>
      </c>
      <c r="C102" s="24" t="s">
        <v>24</v>
      </c>
      <c r="D102" s="31">
        <v>4</v>
      </c>
      <c r="E102" s="32">
        <v>4</v>
      </c>
      <c r="F102" s="33">
        <f t="shared" si="11"/>
        <v>1</v>
      </c>
      <c r="G102" s="49"/>
    </row>
    <row r="103" spans="1:7" x14ac:dyDescent="0.3">
      <c r="A103" s="48">
        <v>45869</v>
      </c>
      <c r="B103" s="27" t="s">
        <v>74</v>
      </c>
      <c r="C103" s="24" t="s">
        <v>42</v>
      </c>
      <c r="D103" s="31">
        <v>4</v>
      </c>
      <c r="E103" s="32">
        <v>4</v>
      </c>
      <c r="F103" s="33">
        <f t="shared" si="11"/>
        <v>1</v>
      </c>
      <c r="G103" s="49"/>
    </row>
    <row r="104" spans="1:7" x14ac:dyDescent="0.3">
      <c r="A104" s="48">
        <v>45869</v>
      </c>
      <c r="B104" s="27" t="s">
        <v>43</v>
      </c>
      <c r="C104" s="24" t="s">
        <v>24</v>
      </c>
      <c r="D104" s="31">
        <v>6</v>
      </c>
      <c r="E104" s="32">
        <v>4</v>
      </c>
      <c r="F104" s="33">
        <f t="shared" ref="F104:F118" si="13">D104/E104</f>
        <v>1.5</v>
      </c>
      <c r="G104" s="49"/>
    </row>
    <row r="105" spans="1:7" x14ac:dyDescent="0.3">
      <c r="A105" s="48">
        <v>45869</v>
      </c>
      <c r="B105" s="27" t="s">
        <v>43</v>
      </c>
      <c r="C105" s="24" t="s">
        <v>45</v>
      </c>
      <c r="D105" s="31">
        <v>2</v>
      </c>
      <c r="E105" s="32">
        <v>3</v>
      </c>
      <c r="F105" s="33">
        <f t="shared" si="13"/>
        <v>0.66666666666666663</v>
      </c>
      <c r="G105" s="49"/>
    </row>
    <row r="106" spans="1:7" x14ac:dyDescent="0.3">
      <c r="A106" s="48">
        <v>45869</v>
      </c>
      <c r="B106" s="27" t="s">
        <v>21</v>
      </c>
      <c r="C106" s="24" t="s">
        <v>24</v>
      </c>
      <c r="D106" s="31">
        <v>5</v>
      </c>
      <c r="E106" s="32">
        <v>4</v>
      </c>
      <c r="F106" s="33">
        <f t="shared" si="13"/>
        <v>1.25</v>
      </c>
      <c r="G106" s="49"/>
    </row>
    <row r="107" spans="1:7" x14ac:dyDescent="0.3">
      <c r="A107" s="48">
        <v>45869</v>
      </c>
      <c r="B107" s="27" t="s">
        <v>21</v>
      </c>
      <c r="C107" s="24" t="s">
        <v>42</v>
      </c>
      <c r="D107" s="31">
        <v>4</v>
      </c>
      <c r="E107" s="32">
        <v>6</v>
      </c>
      <c r="F107" s="33">
        <f t="shared" si="13"/>
        <v>0.66666666666666663</v>
      </c>
      <c r="G107" s="49"/>
    </row>
    <row r="108" spans="1:7" x14ac:dyDescent="0.3">
      <c r="A108" s="48">
        <v>45869</v>
      </c>
      <c r="B108" s="27" t="s">
        <v>23</v>
      </c>
      <c r="C108" s="24" t="s">
        <v>24</v>
      </c>
      <c r="D108" s="31">
        <v>4</v>
      </c>
      <c r="E108" s="32">
        <v>4</v>
      </c>
      <c r="F108" s="33">
        <f t="shared" si="13"/>
        <v>1</v>
      </c>
      <c r="G108" s="49"/>
    </row>
    <row r="109" spans="1:7" x14ac:dyDescent="0.3">
      <c r="A109" s="48">
        <v>45869</v>
      </c>
      <c r="B109" s="27" t="s">
        <v>23</v>
      </c>
      <c r="C109" s="24" t="s">
        <v>42</v>
      </c>
      <c r="D109" s="31">
        <v>3</v>
      </c>
      <c r="E109" s="32">
        <v>6</v>
      </c>
      <c r="F109" s="33">
        <f t="shared" si="13"/>
        <v>0.5</v>
      </c>
      <c r="G109" s="49"/>
    </row>
    <row r="110" spans="1:7" x14ac:dyDescent="0.3">
      <c r="A110" s="48">
        <v>45869</v>
      </c>
      <c r="B110" s="27" t="s">
        <v>63</v>
      </c>
      <c r="C110" s="24" t="s">
        <v>24</v>
      </c>
      <c r="D110" s="31">
        <v>4</v>
      </c>
      <c r="E110" s="32">
        <v>4</v>
      </c>
      <c r="F110" s="33">
        <f t="shared" si="13"/>
        <v>1</v>
      </c>
      <c r="G110" s="49"/>
    </row>
    <row r="111" spans="1:7" x14ac:dyDescent="0.3">
      <c r="A111" s="48">
        <v>45869</v>
      </c>
      <c r="B111" s="27" t="s">
        <v>63</v>
      </c>
      <c r="C111" s="24" t="s">
        <v>42</v>
      </c>
      <c r="D111" s="31">
        <v>7</v>
      </c>
      <c r="E111" s="32">
        <v>6</v>
      </c>
      <c r="F111" s="33">
        <f t="shared" si="13"/>
        <v>1.1666666666666667</v>
      </c>
      <c r="G111" s="49"/>
    </row>
    <row r="112" spans="1:7" x14ac:dyDescent="0.3">
      <c r="A112" s="48">
        <v>45869</v>
      </c>
      <c r="B112" s="27" t="s">
        <v>36</v>
      </c>
      <c r="C112" s="24" t="s">
        <v>24</v>
      </c>
      <c r="D112" s="31">
        <v>0</v>
      </c>
      <c r="E112" s="32">
        <v>4</v>
      </c>
      <c r="F112" s="33">
        <f t="shared" si="13"/>
        <v>0</v>
      </c>
      <c r="G112" s="49"/>
    </row>
    <row r="113" spans="1:7" ht="26.4" x14ac:dyDescent="0.3">
      <c r="A113" s="48">
        <v>45869</v>
      </c>
      <c r="B113" s="27" t="s">
        <v>36</v>
      </c>
      <c r="C113" s="24" t="s">
        <v>62</v>
      </c>
      <c r="D113" s="31">
        <v>0</v>
      </c>
      <c r="E113" s="32">
        <v>1</v>
      </c>
      <c r="F113" s="33">
        <f t="shared" si="13"/>
        <v>0</v>
      </c>
      <c r="G113" s="49"/>
    </row>
    <row r="114" spans="1:7" x14ac:dyDescent="0.3">
      <c r="A114" s="48">
        <v>45869</v>
      </c>
      <c r="B114" s="27" t="s">
        <v>36</v>
      </c>
      <c r="C114" s="24" t="s">
        <v>42</v>
      </c>
      <c r="D114" s="31">
        <v>4</v>
      </c>
      <c r="E114" s="32">
        <v>6</v>
      </c>
      <c r="F114" s="33">
        <f t="shared" si="13"/>
        <v>0.66666666666666663</v>
      </c>
      <c r="G114" s="49"/>
    </row>
    <row r="115" spans="1:7" x14ac:dyDescent="0.3">
      <c r="A115" s="48">
        <v>45869</v>
      </c>
      <c r="B115" s="27" t="s">
        <v>36</v>
      </c>
      <c r="C115" s="24" t="s">
        <v>38</v>
      </c>
      <c r="D115" s="31">
        <v>1</v>
      </c>
      <c r="E115" s="32">
        <v>1</v>
      </c>
      <c r="F115" s="33">
        <f t="shared" si="13"/>
        <v>1</v>
      </c>
      <c r="G115" s="49"/>
    </row>
    <row r="116" spans="1:7" x14ac:dyDescent="0.3">
      <c r="A116" s="48">
        <v>45869</v>
      </c>
      <c r="B116" s="27" t="s">
        <v>36</v>
      </c>
      <c r="C116" s="24" t="s">
        <v>39</v>
      </c>
      <c r="D116" s="31">
        <v>1</v>
      </c>
      <c r="E116" s="32">
        <v>1</v>
      </c>
      <c r="F116" s="33">
        <f t="shared" si="13"/>
        <v>1</v>
      </c>
      <c r="G116" s="49"/>
    </row>
    <row r="117" spans="1:7" x14ac:dyDescent="0.3">
      <c r="A117" s="48">
        <v>45900</v>
      </c>
      <c r="B117" s="27" t="s">
        <v>74</v>
      </c>
      <c r="C117" s="24" t="s">
        <v>24</v>
      </c>
      <c r="D117" s="31">
        <v>4</v>
      </c>
      <c r="E117" s="32">
        <v>4</v>
      </c>
      <c r="F117" s="33">
        <f t="shared" si="13"/>
        <v>1</v>
      </c>
      <c r="G117" s="49"/>
    </row>
    <row r="118" spans="1:7" x14ac:dyDescent="0.3">
      <c r="A118" s="48">
        <v>45900</v>
      </c>
      <c r="B118" s="27" t="s">
        <v>74</v>
      </c>
      <c r="C118" s="24" t="s">
        <v>42</v>
      </c>
      <c r="D118" s="31">
        <v>4</v>
      </c>
      <c r="E118" s="32">
        <v>4</v>
      </c>
      <c r="F118" s="33">
        <f t="shared" si="13"/>
        <v>1</v>
      </c>
      <c r="G118" s="49"/>
    </row>
    <row r="119" spans="1:7" x14ac:dyDescent="0.3">
      <c r="A119" s="48">
        <v>45900</v>
      </c>
      <c r="B119" s="27" t="s">
        <v>43</v>
      </c>
      <c r="C119" s="24" t="s">
        <v>24</v>
      </c>
      <c r="D119" s="31">
        <v>8</v>
      </c>
      <c r="E119" s="32">
        <v>4</v>
      </c>
      <c r="F119" s="33">
        <f t="shared" ref="F119:F133" si="14">D119/E119</f>
        <v>2</v>
      </c>
      <c r="G119" s="49"/>
    </row>
    <row r="120" spans="1:7" x14ac:dyDescent="0.3">
      <c r="A120" s="48">
        <v>45900</v>
      </c>
      <c r="B120" s="27" t="s">
        <v>43</v>
      </c>
      <c r="C120" s="24" t="s">
        <v>45</v>
      </c>
      <c r="D120" s="31">
        <v>4</v>
      </c>
      <c r="E120" s="32">
        <v>3</v>
      </c>
      <c r="F120" s="33">
        <f t="shared" si="14"/>
        <v>1.3333333333333333</v>
      </c>
      <c r="G120" s="49"/>
    </row>
    <row r="121" spans="1:7" x14ac:dyDescent="0.3">
      <c r="A121" s="48">
        <v>45900</v>
      </c>
      <c r="B121" s="27" t="s">
        <v>21</v>
      </c>
      <c r="C121" s="24" t="s">
        <v>24</v>
      </c>
      <c r="D121" s="31">
        <v>5</v>
      </c>
      <c r="E121" s="32">
        <v>4</v>
      </c>
      <c r="F121" s="33">
        <f t="shared" si="14"/>
        <v>1.25</v>
      </c>
      <c r="G121" s="49"/>
    </row>
    <row r="122" spans="1:7" x14ac:dyDescent="0.3">
      <c r="A122" s="48">
        <v>45900</v>
      </c>
      <c r="B122" s="27" t="s">
        <v>21</v>
      </c>
      <c r="C122" s="24" t="s">
        <v>42</v>
      </c>
      <c r="D122" s="31">
        <v>6</v>
      </c>
      <c r="E122" s="32">
        <v>6</v>
      </c>
      <c r="F122" s="33">
        <f t="shared" si="14"/>
        <v>1</v>
      </c>
      <c r="G122" s="49"/>
    </row>
    <row r="123" spans="1:7" x14ac:dyDescent="0.3">
      <c r="A123" s="48">
        <v>45900</v>
      </c>
      <c r="B123" s="27" t="s">
        <v>22</v>
      </c>
      <c r="C123" s="24" t="s">
        <v>24</v>
      </c>
      <c r="D123" s="31">
        <v>5</v>
      </c>
      <c r="E123" s="32">
        <v>4</v>
      </c>
      <c r="F123" s="33">
        <f t="shared" ref="F123:F124" si="15">D123/E123</f>
        <v>1.25</v>
      </c>
      <c r="G123" s="49"/>
    </row>
    <row r="124" spans="1:7" x14ac:dyDescent="0.3">
      <c r="A124" s="48">
        <v>45900</v>
      </c>
      <c r="B124" s="27" t="s">
        <v>22</v>
      </c>
      <c r="C124" s="24" t="s">
        <v>42</v>
      </c>
      <c r="D124" s="31">
        <v>4</v>
      </c>
      <c r="E124" s="32">
        <v>6</v>
      </c>
      <c r="F124" s="33">
        <f t="shared" si="15"/>
        <v>0.66666666666666663</v>
      </c>
      <c r="G124" s="49"/>
    </row>
    <row r="125" spans="1:7" x14ac:dyDescent="0.3">
      <c r="A125" s="48">
        <v>45900</v>
      </c>
      <c r="B125" s="27" t="s">
        <v>23</v>
      </c>
      <c r="C125" s="24" t="s">
        <v>24</v>
      </c>
      <c r="D125" s="31">
        <v>4</v>
      </c>
      <c r="E125" s="32">
        <v>4</v>
      </c>
      <c r="F125" s="33">
        <f t="shared" si="14"/>
        <v>1</v>
      </c>
      <c r="G125" s="49"/>
    </row>
    <row r="126" spans="1:7" x14ac:dyDescent="0.3">
      <c r="A126" s="48">
        <v>45900</v>
      </c>
      <c r="B126" s="27" t="s">
        <v>23</v>
      </c>
      <c r="C126" s="24" t="s">
        <v>42</v>
      </c>
      <c r="D126" s="31">
        <v>6</v>
      </c>
      <c r="E126" s="32">
        <v>6</v>
      </c>
      <c r="F126" s="33">
        <f t="shared" si="14"/>
        <v>1</v>
      </c>
      <c r="G126" s="49"/>
    </row>
    <row r="127" spans="1:7" x14ac:dyDescent="0.3">
      <c r="A127" s="48">
        <v>45900</v>
      </c>
      <c r="B127" s="27" t="s">
        <v>63</v>
      </c>
      <c r="C127" s="24" t="s">
        <v>24</v>
      </c>
      <c r="D127" s="31">
        <v>4</v>
      </c>
      <c r="E127" s="32">
        <v>4</v>
      </c>
      <c r="F127" s="33">
        <f t="shared" si="14"/>
        <v>1</v>
      </c>
      <c r="G127" s="49"/>
    </row>
    <row r="128" spans="1:7" x14ac:dyDescent="0.3">
      <c r="A128" s="48">
        <v>45900</v>
      </c>
      <c r="B128" s="27" t="s">
        <v>63</v>
      </c>
      <c r="C128" s="24" t="s">
        <v>42</v>
      </c>
      <c r="D128" s="31">
        <v>6</v>
      </c>
      <c r="E128" s="32">
        <v>6</v>
      </c>
      <c r="F128" s="33">
        <f t="shared" si="14"/>
        <v>1</v>
      </c>
      <c r="G128" s="49"/>
    </row>
    <row r="129" spans="1:7" x14ac:dyDescent="0.3">
      <c r="A129" s="48">
        <v>45900</v>
      </c>
      <c r="B129" s="27" t="s">
        <v>36</v>
      </c>
      <c r="C129" s="24" t="s">
        <v>24</v>
      </c>
      <c r="D129" s="31">
        <v>0</v>
      </c>
      <c r="E129" s="32">
        <v>4</v>
      </c>
      <c r="F129" s="33">
        <f t="shared" si="14"/>
        <v>0</v>
      </c>
      <c r="G129" s="49"/>
    </row>
    <row r="130" spans="1:7" ht="26.4" x14ac:dyDescent="0.3">
      <c r="A130" s="48">
        <v>45900</v>
      </c>
      <c r="B130" s="27" t="s">
        <v>36</v>
      </c>
      <c r="C130" s="24" t="s">
        <v>62</v>
      </c>
      <c r="D130" s="31">
        <v>1</v>
      </c>
      <c r="E130" s="32">
        <v>1</v>
      </c>
      <c r="F130" s="33">
        <f t="shared" si="14"/>
        <v>1</v>
      </c>
      <c r="G130" s="49"/>
    </row>
    <row r="131" spans="1:7" x14ac:dyDescent="0.3">
      <c r="A131" s="48">
        <v>45900</v>
      </c>
      <c r="B131" s="27" t="s">
        <v>36</v>
      </c>
      <c r="C131" s="24" t="s">
        <v>42</v>
      </c>
      <c r="D131" s="31">
        <v>5</v>
      </c>
      <c r="E131" s="32">
        <v>6</v>
      </c>
      <c r="F131" s="33">
        <f t="shared" si="14"/>
        <v>0.83333333333333337</v>
      </c>
      <c r="G131" s="49"/>
    </row>
    <row r="132" spans="1:7" x14ac:dyDescent="0.3">
      <c r="A132" s="48">
        <v>45900</v>
      </c>
      <c r="B132" s="27" t="s">
        <v>36</v>
      </c>
      <c r="C132" s="24" t="s">
        <v>38</v>
      </c>
      <c r="D132" s="31">
        <v>1</v>
      </c>
      <c r="E132" s="32">
        <v>1</v>
      </c>
      <c r="F132" s="33">
        <f t="shared" si="14"/>
        <v>1</v>
      </c>
      <c r="G132" s="49"/>
    </row>
    <row r="133" spans="1:7" x14ac:dyDescent="0.3">
      <c r="A133" s="48">
        <v>45900</v>
      </c>
      <c r="B133" s="27" t="s">
        <v>36</v>
      </c>
      <c r="C133" s="24" t="s">
        <v>39</v>
      </c>
      <c r="D133" s="31">
        <v>1</v>
      </c>
      <c r="E133" s="32">
        <v>1</v>
      </c>
      <c r="F133" s="33">
        <f t="shared" si="14"/>
        <v>1</v>
      </c>
      <c r="G133" s="49"/>
    </row>
    <row r="134" spans="1:7" x14ac:dyDescent="0.3">
      <c r="A134" s="48">
        <v>45930</v>
      </c>
      <c r="B134" s="27" t="s">
        <v>74</v>
      </c>
      <c r="C134" s="24" t="s">
        <v>24</v>
      </c>
      <c r="D134" s="31">
        <v>4</v>
      </c>
      <c r="E134" s="32">
        <v>4</v>
      </c>
      <c r="F134" s="33">
        <f t="shared" ref="F134:F150" si="16">D134/E134</f>
        <v>1</v>
      </c>
      <c r="G134" s="49"/>
    </row>
    <row r="135" spans="1:7" x14ac:dyDescent="0.3">
      <c r="A135" s="48">
        <v>45930</v>
      </c>
      <c r="B135" s="27" t="s">
        <v>74</v>
      </c>
      <c r="C135" s="24" t="s">
        <v>42</v>
      </c>
      <c r="D135" s="31">
        <v>4</v>
      </c>
      <c r="E135" s="32">
        <v>4</v>
      </c>
      <c r="F135" s="33">
        <f t="shared" si="16"/>
        <v>1</v>
      </c>
      <c r="G135" s="49"/>
    </row>
    <row r="136" spans="1:7" x14ac:dyDescent="0.3">
      <c r="A136" s="48">
        <v>45930</v>
      </c>
      <c r="B136" s="27" t="s">
        <v>43</v>
      </c>
      <c r="C136" s="24" t="s">
        <v>24</v>
      </c>
      <c r="D136" s="31">
        <v>11</v>
      </c>
      <c r="E136" s="32">
        <v>4</v>
      </c>
      <c r="F136" s="33">
        <f t="shared" si="16"/>
        <v>2.75</v>
      </c>
      <c r="G136" s="49"/>
    </row>
    <row r="137" spans="1:7" x14ac:dyDescent="0.3">
      <c r="A137" s="48">
        <v>45930</v>
      </c>
      <c r="B137" s="27" t="s">
        <v>43</v>
      </c>
      <c r="C137" s="24" t="s">
        <v>45</v>
      </c>
      <c r="D137" s="31">
        <v>4</v>
      </c>
      <c r="E137" s="32">
        <v>3</v>
      </c>
      <c r="F137" s="33">
        <f t="shared" si="16"/>
        <v>1.3333333333333333</v>
      </c>
      <c r="G137" s="49"/>
    </row>
    <row r="138" spans="1:7" x14ac:dyDescent="0.3">
      <c r="A138" s="48">
        <v>45930</v>
      </c>
      <c r="B138" s="27" t="s">
        <v>21</v>
      </c>
      <c r="C138" s="24" t="s">
        <v>24</v>
      </c>
      <c r="D138" s="31">
        <v>6</v>
      </c>
      <c r="E138" s="32">
        <v>4</v>
      </c>
      <c r="F138" s="33">
        <f t="shared" si="16"/>
        <v>1.5</v>
      </c>
      <c r="G138" s="49"/>
    </row>
    <row r="139" spans="1:7" x14ac:dyDescent="0.3">
      <c r="A139" s="48">
        <v>45930</v>
      </c>
      <c r="B139" s="27" t="s">
        <v>21</v>
      </c>
      <c r="C139" s="24" t="s">
        <v>42</v>
      </c>
      <c r="D139" s="31">
        <v>8</v>
      </c>
      <c r="E139" s="32">
        <v>6</v>
      </c>
      <c r="F139" s="33">
        <f t="shared" si="16"/>
        <v>1.3333333333333333</v>
      </c>
      <c r="G139" s="49"/>
    </row>
    <row r="140" spans="1:7" x14ac:dyDescent="0.3">
      <c r="A140" s="48">
        <v>45930</v>
      </c>
      <c r="B140" s="27" t="s">
        <v>22</v>
      </c>
      <c r="C140" s="24" t="s">
        <v>24</v>
      </c>
      <c r="D140" s="31">
        <v>5</v>
      </c>
      <c r="E140" s="32">
        <v>4</v>
      </c>
      <c r="F140" s="33">
        <f t="shared" si="16"/>
        <v>1.25</v>
      </c>
      <c r="G140" s="49"/>
    </row>
    <row r="141" spans="1:7" x14ac:dyDescent="0.3">
      <c r="A141" s="48">
        <v>45930</v>
      </c>
      <c r="B141" s="27" t="s">
        <v>22</v>
      </c>
      <c r="C141" s="24" t="s">
        <v>42</v>
      </c>
      <c r="D141" s="31">
        <v>6</v>
      </c>
      <c r="E141" s="32">
        <v>6</v>
      </c>
      <c r="F141" s="33">
        <f t="shared" si="16"/>
        <v>1</v>
      </c>
      <c r="G141" s="49"/>
    </row>
    <row r="142" spans="1:7" x14ac:dyDescent="0.3">
      <c r="A142" s="48">
        <v>45930</v>
      </c>
      <c r="B142" s="27" t="s">
        <v>23</v>
      </c>
      <c r="C142" s="24" t="s">
        <v>24</v>
      </c>
      <c r="D142" s="31">
        <v>5</v>
      </c>
      <c r="E142" s="32">
        <v>4</v>
      </c>
      <c r="F142" s="33">
        <f t="shared" si="16"/>
        <v>1.25</v>
      </c>
      <c r="G142" s="49"/>
    </row>
    <row r="143" spans="1:7" x14ac:dyDescent="0.3">
      <c r="A143" s="48">
        <v>45930</v>
      </c>
      <c r="B143" s="27" t="s">
        <v>23</v>
      </c>
      <c r="C143" s="24" t="s">
        <v>42</v>
      </c>
      <c r="D143" s="31">
        <v>6</v>
      </c>
      <c r="E143" s="32">
        <v>6</v>
      </c>
      <c r="F143" s="33">
        <f t="shared" si="16"/>
        <v>1</v>
      </c>
      <c r="G143" s="49"/>
    </row>
    <row r="144" spans="1:7" x14ac:dyDescent="0.3">
      <c r="A144" s="48">
        <v>45930</v>
      </c>
      <c r="B144" s="27" t="s">
        <v>63</v>
      </c>
      <c r="C144" s="24" t="s">
        <v>24</v>
      </c>
      <c r="D144" s="31">
        <v>5</v>
      </c>
      <c r="E144" s="32">
        <v>4</v>
      </c>
      <c r="F144" s="33">
        <f t="shared" si="16"/>
        <v>1.25</v>
      </c>
      <c r="G144" s="49"/>
    </row>
    <row r="145" spans="1:7" x14ac:dyDescent="0.3">
      <c r="A145" s="48">
        <v>45930</v>
      </c>
      <c r="B145" s="27" t="s">
        <v>63</v>
      </c>
      <c r="C145" s="24" t="s">
        <v>42</v>
      </c>
      <c r="D145" s="31">
        <v>6</v>
      </c>
      <c r="E145" s="32">
        <v>6</v>
      </c>
      <c r="F145" s="33">
        <f t="shared" si="16"/>
        <v>1</v>
      </c>
      <c r="G145" s="49"/>
    </row>
    <row r="146" spans="1:7" x14ac:dyDescent="0.3">
      <c r="A146" s="48">
        <v>45930</v>
      </c>
      <c r="B146" s="27" t="s">
        <v>36</v>
      </c>
      <c r="C146" s="24" t="s">
        <v>24</v>
      </c>
      <c r="D146" s="31">
        <v>0</v>
      </c>
      <c r="E146" s="32">
        <v>4</v>
      </c>
      <c r="F146" s="33">
        <f t="shared" si="16"/>
        <v>0</v>
      </c>
      <c r="G146" s="49"/>
    </row>
    <row r="147" spans="1:7" ht="26.4" x14ac:dyDescent="0.3">
      <c r="A147" s="48">
        <v>45930</v>
      </c>
      <c r="B147" s="27" t="s">
        <v>36</v>
      </c>
      <c r="C147" s="24" t="s">
        <v>62</v>
      </c>
      <c r="D147" s="31">
        <v>0</v>
      </c>
      <c r="E147" s="32">
        <v>1</v>
      </c>
      <c r="F147" s="33">
        <f t="shared" si="16"/>
        <v>0</v>
      </c>
      <c r="G147" s="49"/>
    </row>
    <row r="148" spans="1:7" x14ac:dyDescent="0.3">
      <c r="A148" s="48">
        <v>45930</v>
      </c>
      <c r="B148" s="27" t="s">
        <v>36</v>
      </c>
      <c r="C148" s="24" t="s">
        <v>42</v>
      </c>
      <c r="D148" s="31">
        <v>2</v>
      </c>
      <c r="E148" s="32">
        <v>6</v>
      </c>
      <c r="F148" s="33">
        <f t="shared" si="16"/>
        <v>0.33333333333333331</v>
      </c>
      <c r="G148" s="49"/>
    </row>
    <row r="149" spans="1:7" x14ac:dyDescent="0.3">
      <c r="A149" s="48">
        <v>45930</v>
      </c>
      <c r="B149" s="27" t="s">
        <v>36</v>
      </c>
      <c r="C149" s="24" t="s">
        <v>38</v>
      </c>
      <c r="D149" s="31">
        <v>1</v>
      </c>
      <c r="E149" s="32">
        <v>1</v>
      </c>
      <c r="F149" s="33">
        <f t="shared" si="16"/>
        <v>1</v>
      </c>
      <c r="G149" s="49"/>
    </row>
    <row r="150" spans="1:7" x14ac:dyDescent="0.3">
      <c r="A150" s="48">
        <v>45930</v>
      </c>
      <c r="B150" s="27" t="s">
        <v>36</v>
      </c>
      <c r="C150" s="24" t="s">
        <v>39</v>
      </c>
      <c r="D150" s="31">
        <v>1</v>
      </c>
      <c r="E150" s="32">
        <v>1</v>
      </c>
      <c r="F150" s="33">
        <f t="shared" si="16"/>
        <v>1</v>
      </c>
      <c r="G150" s="49"/>
    </row>
    <row r="151" spans="1:7" x14ac:dyDescent="0.3">
      <c r="A151" s="48">
        <v>45961</v>
      </c>
      <c r="B151" s="27" t="s">
        <v>74</v>
      </c>
      <c r="C151" s="24" t="s">
        <v>24</v>
      </c>
      <c r="D151" s="31">
        <v>3</v>
      </c>
      <c r="E151" s="32">
        <v>4</v>
      </c>
      <c r="F151" s="33">
        <f t="shared" ref="F151:F167" si="17">D151/E151</f>
        <v>0.75</v>
      </c>
      <c r="G151" s="49"/>
    </row>
    <row r="152" spans="1:7" x14ac:dyDescent="0.3">
      <c r="A152" s="48">
        <v>45961</v>
      </c>
      <c r="B152" s="27" t="s">
        <v>74</v>
      </c>
      <c r="C152" s="24" t="s">
        <v>42</v>
      </c>
      <c r="D152" s="31">
        <v>4</v>
      </c>
      <c r="E152" s="32">
        <v>4</v>
      </c>
      <c r="F152" s="33">
        <f t="shared" si="17"/>
        <v>1</v>
      </c>
      <c r="G152" s="49"/>
    </row>
    <row r="153" spans="1:7" x14ac:dyDescent="0.3">
      <c r="A153" s="48">
        <v>45961</v>
      </c>
      <c r="B153" s="27" t="s">
        <v>43</v>
      </c>
      <c r="C153" s="24" t="s">
        <v>24</v>
      </c>
      <c r="D153" s="31">
        <v>3</v>
      </c>
      <c r="E153" s="32">
        <v>4</v>
      </c>
      <c r="F153" s="33">
        <f t="shared" si="17"/>
        <v>0.75</v>
      </c>
      <c r="G153" s="49"/>
    </row>
    <row r="154" spans="1:7" x14ac:dyDescent="0.3">
      <c r="A154" s="48">
        <v>45961</v>
      </c>
      <c r="B154" s="27" t="s">
        <v>43</v>
      </c>
      <c r="C154" s="24" t="s">
        <v>45</v>
      </c>
      <c r="D154" s="31">
        <v>4</v>
      </c>
      <c r="E154" s="32">
        <v>3</v>
      </c>
      <c r="F154" s="33">
        <f t="shared" si="17"/>
        <v>1.3333333333333333</v>
      </c>
      <c r="G154" s="49"/>
    </row>
    <row r="155" spans="1:7" x14ac:dyDescent="0.3">
      <c r="A155" s="48">
        <v>45961</v>
      </c>
      <c r="B155" s="27" t="s">
        <v>21</v>
      </c>
      <c r="C155" s="24" t="s">
        <v>24</v>
      </c>
      <c r="D155" s="31">
        <v>5</v>
      </c>
      <c r="E155" s="32">
        <v>4</v>
      </c>
      <c r="F155" s="33">
        <f t="shared" si="17"/>
        <v>1.25</v>
      </c>
      <c r="G155" s="49"/>
    </row>
    <row r="156" spans="1:7" x14ac:dyDescent="0.3">
      <c r="A156" s="48">
        <v>45961</v>
      </c>
      <c r="B156" s="27" t="s">
        <v>21</v>
      </c>
      <c r="C156" s="24" t="s">
        <v>42</v>
      </c>
      <c r="D156" s="31">
        <v>7</v>
      </c>
      <c r="E156" s="32">
        <v>6</v>
      </c>
      <c r="F156" s="33">
        <f t="shared" si="17"/>
        <v>1.1666666666666667</v>
      </c>
      <c r="G156" s="49"/>
    </row>
    <row r="157" spans="1:7" x14ac:dyDescent="0.3">
      <c r="A157" s="48">
        <v>45961</v>
      </c>
      <c r="B157" s="27" t="s">
        <v>22</v>
      </c>
      <c r="C157" s="24" t="s">
        <v>24</v>
      </c>
      <c r="D157" s="31">
        <v>7</v>
      </c>
      <c r="E157" s="32">
        <v>4</v>
      </c>
      <c r="F157" s="33">
        <f t="shared" si="17"/>
        <v>1.75</v>
      </c>
      <c r="G157" s="49"/>
    </row>
    <row r="158" spans="1:7" x14ac:dyDescent="0.3">
      <c r="A158" s="48">
        <v>45961</v>
      </c>
      <c r="B158" s="27" t="s">
        <v>22</v>
      </c>
      <c r="C158" s="24" t="s">
        <v>42</v>
      </c>
      <c r="D158" s="31">
        <v>7</v>
      </c>
      <c r="E158" s="32">
        <v>6</v>
      </c>
      <c r="F158" s="33">
        <f t="shared" si="17"/>
        <v>1.1666666666666667</v>
      </c>
      <c r="G158" s="49"/>
    </row>
    <row r="159" spans="1:7" x14ac:dyDescent="0.3">
      <c r="A159" s="48">
        <v>45961</v>
      </c>
      <c r="B159" s="27" t="s">
        <v>23</v>
      </c>
      <c r="C159" s="24" t="s">
        <v>24</v>
      </c>
      <c r="D159" s="31">
        <v>0</v>
      </c>
      <c r="E159" s="32">
        <v>4</v>
      </c>
      <c r="F159" s="33">
        <f t="shared" si="17"/>
        <v>0</v>
      </c>
      <c r="G159" s="49"/>
    </row>
    <row r="160" spans="1:7" x14ac:dyDescent="0.3">
      <c r="A160" s="48">
        <v>45961</v>
      </c>
      <c r="B160" s="27" t="s">
        <v>23</v>
      </c>
      <c r="C160" s="24" t="s">
        <v>42</v>
      </c>
      <c r="D160" s="31">
        <v>0</v>
      </c>
      <c r="E160" s="32">
        <v>6</v>
      </c>
      <c r="F160" s="33">
        <f t="shared" si="17"/>
        <v>0</v>
      </c>
      <c r="G160" s="49"/>
    </row>
    <row r="161" spans="1:9" x14ac:dyDescent="0.3">
      <c r="A161" s="48">
        <v>45961</v>
      </c>
      <c r="B161" s="27" t="s">
        <v>63</v>
      </c>
      <c r="C161" s="24" t="s">
        <v>24</v>
      </c>
      <c r="D161" s="31">
        <v>4</v>
      </c>
      <c r="E161" s="32">
        <v>4</v>
      </c>
      <c r="F161" s="33">
        <f t="shared" si="17"/>
        <v>1</v>
      </c>
      <c r="G161" s="49"/>
    </row>
    <row r="162" spans="1:9" x14ac:dyDescent="0.3">
      <c r="A162" s="48">
        <v>45961</v>
      </c>
      <c r="B162" s="27" t="s">
        <v>63</v>
      </c>
      <c r="C162" s="24" t="s">
        <v>42</v>
      </c>
      <c r="D162" s="31">
        <v>7</v>
      </c>
      <c r="E162" s="32">
        <v>6</v>
      </c>
      <c r="F162" s="33">
        <f t="shared" si="17"/>
        <v>1.1666666666666667</v>
      </c>
      <c r="G162" s="49"/>
    </row>
    <row r="163" spans="1:9" x14ac:dyDescent="0.3">
      <c r="A163" s="48">
        <v>45961</v>
      </c>
      <c r="B163" s="27" t="s">
        <v>36</v>
      </c>
      <c r="C163" s="24" t="s">
        <v>24</v>
      </c>
      <c r="D163" s="31">
        <v>0</v>
      </c>
      <c r="E163" s="32">
        <v>4</v>
      </c>
      <c r="F163" s="33">
        <f t="shared" si="17"/>
        <v>0</v>
      </c>
      <c r="G163" s="49"/>
    </row>
    <row r="164" spans="1:9" ht="26.4" x14ac:dyDescent="0.3">
      <c r="A164" s="48">
        <v>45961</v>
      </c>
      <c r="B164" s="27" t="s">
        <v>36</v>
      </c>
      <c r="C164" s="24" t="s">
        <v>62</v>
      </c>
      <c r="D164" s="31">
        <v>1</v>
      </c>
      <c r="E164" s="32">
        <v>1</v>
      </c>
      <c r="F164" s="33">
        <f t="shared" si="17"/>
        <v>1</v>
      </c>
      <c r="G164" s="49"/>
    </row>
    <row r="165" spans="1:9" x14ac:dyDescent="0.3">
      <c r="A165" s="48">
        <v>45961</v>
      </c>
      <c r="B165" s="27" t="s">
        <v>36</v>
      </c>
      <c r="C165" s="24" t="s">
        <v>42</v>
      </c>
      <c r="D165" s="31">
        <v>3</v>
      </c>
      <c r="E165" s="32">
        <v>6</v>
      </c>
      <c r="F165" s="33">
        <f t="shared" si="17"/>
        <v>0.5</v>
      </c>
      <c r="G165" s="49"/>
    </row>
    <row r="166" spans="1:9" x14ac:dyDescent="0.3">
      <c r="A166" s="48">
        <v>45961</v>
      </c>
      <c r="B166" s="27" t="s">
        <v>36</v>
      </c>
      <c r="C166" s="24" t="s">
        <v>38</v>
      </c>
      <c r="D166" s="31">
        <v>1</v>
      </c>
      <c r="E166" s="32">
        <v>1</v>
      </c>
      <c r="F166" s="33">
        <f t="shared" si="17"/>
        <v>1</v>
      </c>
      <c r="G166" s="49"/>
    </row>
    <row r="167" spans="1:9" x14ac:dyDescent="0.3">
      <c r="A167" s="48">
        <v>45961</v>
      </c>
      <c r="B167" s="27" t="s">
        <v>36</v>
      </c>
      <c r="C167" s="24" t="s">
        <v>39</v>
      </c>
      <c r="D167" s="31">
        <v>1</v>
      </c>
      <c r="E167" s="32">
        <v>1</v>
      </c>
      <c r="F167" s="33">
        <f t="shared" si="17"/>
        <v>1</v>
      </c>
      <c r="G167" s="49"/>
    </row>
    <row r="168" spans="1:9" x14ac:dyDescent="0.3">
      <c r="A168" s="48">
        <v>45991</v>
      </c>
      <c r="B168" s="27" t="s">
        <v>74</v>
      </c>
      <c r="C168" s="24" t="s">
        <v>24</v>
      </c>
      <c r="D168" s="31">
        <v>4</v>
      </c>
      <c r="E168" s="32">
        <v>4</v>
      </c>
      <c r="F168" s="33">
        <f>D168/E168</f>
        <v>1</v>
      </c>
      <c r="G168" s="49"/>
    </row>
    <row r="169" spans="1:9" x14ac:dyDescent="0.3">
      <c r="A169" s="48">
        <v>45991</v>
      </c>
      <c r="B169" s="27" t="s">
        <v>74</v>
      </c>
      <c r="C169" s="24" t="s">
        <v>42</v>
      </c>
      <c r="D169" s="31">
        <v>6</v>
      </c>
      <c r="E169" s="32">
        <v>4</v>
      </c>
      <c r="F169" s="33">
        <f t="shared" ref="F169:F184" si="18">D169/E169</f>
        <v>1.5</v>
      </c>
      <c r="G169" s="49"/>
    </row>
    <row r="170" spans="1:9" x14ac:dyDescent="0.3">
      <c r="A170" s="48">
        <v>45991</v>
      </c>
      <c r="B170" s="27" t="s">
        <v>43</v>
      </c>
      <c r="C170" s="24" t="s">
        <v>24</v>
      </c>
      <c r="D170" s="31">
        <v>5</v>
      </c>
      <c r="E170" s="32">
        <v>4</v>
      </c>
      <c r="F170" s="33">
        <f t="shared" si="18"/>
        <v>1.25</v>
      </c>
      <c r="G170" s="49"/>
    </row>
    <row r="171" spans="1:9" x14ac:dyDescent="0.3">
      <c r="A171" s="48">
        <v>45991</v>
      </c>
      <c r="B171" s="27" t="s">
        <v>43</v>
      </c>
      <c r="C171" s="24" t="s">
        <v>45</v>
      </c>
      <c r="D171" s="31">
        <v>4</v>
      </c>
      <c r="E171" s="32">
        <v>3</v>
      </c>
      <c r="F171" s="33">
        <f t="shared" si="18"/>
        <v>1.3333333333333333</v>
      </c>
      <c r="G171" s="49"/>
    </row>
    <row r="172" spans="1:9" x14ac:dyDescent="0.3">
      <c r="A172" s="48">
        <v>45991</v>
      </c>
      <c r="B172" s="27" t="s">
        <v>21</v>
      </c>
      <c r="C172" s="24" t="s">
        <v>24</v>
      </c>
      <c r="D172" s="31">
        <v>3</v>
      </c>
      <c r="E172" s="32">
        <v>4</v>
      </c>
      <c r="F172" s="33">
        <f t="shared" si="18"/>
        <v>0.75</v>
      </c>
      <c r="G172" s="49"/>
    </row>
    <row r="173" spans="1:9" x14ac:dyDescent="0.3">
      <c r="A173" s="48">
        <v>45991</v>
      </c>
      <c r="B173" s="27" t="s">
        <v>21</v>
      </c>
      <c r="C173" s="24" t="s">
        <v>42</v>
      </c>
      <c r="D173" s="31">
        <v>7</v>
      </c>
      <c r="E173" s="32">
        <v>6</v>
      </c>
      <c r="F173" s="33">
        <f t="shared" si="18"/>
        <v>1.1666666666666667</v>
      </c>
      <c r="G173" s="49"/>
    </row>
    <row r="174" spans="1:9" x14ac:dyDescent="0.3">
      <c r="A174" s="48">
        <v>45991</v>
      </c>
      <c r="B174" s="27" t="s">
        <v>22</v>
      </c>
      <c r="C174" s="24" t="s">
        <v>24</v>
      </c>
      <c r="D174" s="31">
        <v>5</v>
      </c>
      <c r="E174" s="32">
        <v>4</v>
      </c>
      <c r="F174" s="33">
        <f t="shared" si="18"/>
        <v>1.25</v>
      </c>
      <c r="G174" s="49"/>
    </row>
    <row r="175" spans="1:9" x14ac:dyDescent="0.3">
      <c r="A175" s="48">
        <v>45991</v>
      </c>
      <c r="B175" s="27" t="s">
        <v>22</v>
      </c>
      <c r="C175" s="24" t="s">
        <v>42</v>
      </c>
      <c r="D175" s="31">
        <v>6</v>
      </c>
      <c r="E175" s="32">
        <v>6</v>
      </c>
      <c r="F175" s="33">
        <f t="shared" si="18"/>
        <v>1</v>
      </c>
      <c r="G175" s="49"/>
    </row>
    <row r="176" spans="1:9" x14ac:dyDescent="0.3">
      <c r="A176" s="48">
        <v>45991</v>
      </c>
      <c r="B176" s="27" t="s">
        <v>23</v>
      </c>
      <c r="C176" s="24" t="s">
        <v>24</v>
      </c>
      <c r="D176" s="31">
        <v>1</v>
      </c>
      <c r="E176" s="32">
        <v>4</v>
      </c>
      <c r="F176" s="33">
        <f t="shared" si="18"/>
        <v>0.25</v>
      </c>
      <c r="G176" s="49"/>
      <c r="I176">
        <v>0</v>
      </c>
    </row>
    <row r="177" spans="1:7" x14ac:dyDescent="0.3">
      <c r="A177" s="48">
        <v>45991</v>
      </c>
      <c r="B177" s="27" t="s">
        <v>23</v>
      </c>
      <c r="C177" s="24" t="s">
        <v>42</v>
      </c>
      <c r="D177" s="31">
        <v>5</v>
      </c>
      <c r="E177" s="32">
        <v>6</v>
      </c>
      <c r="F177" s="33">
        <f t="shared" si="18"/>
        <v>0.83333333333333337</v>
      </c>
      <c r="G177" s="49"/>
    </row>
    <row r="178" spans="1:7" x14ac:dyDescent="0.3">
      <c r="A178" s="48">
        <v>45991</v>
      </c>
      <c r="B178" s="27" t="s">
        <v>63</v>
      </c>
      <c r="C178" s="24" t="s">
        <v>24</v>
      </c>
      <c r="D178" s="31">
        <v>4</v>
      </c>
      <c r="E178" s="32">
        <v>4</v>
      </c>
      <c r="F178" s="33">
        <f t="shared" si="18"/>
        <v>1</v>
      </c>
      <c r="G178" s="49"/>
    </row>
    <row r="179" spans="1:7" x14ac:dyDescent="0.3">
      <c r="A179" s="48">
        <v>45991</v>
      </c>
      <c r="B179" s="27" t="s">
        <v>63</v>
      </c>
      <c r="C179" s="24" t="s">
        <v>42</v>
      </c>
      <c r="D179" s="31">
        <v>5</v>
      </c>
      <c r="E179" s="32">
        <v>6</v>
      </c>
      <c r="F179" s="33">
        <f t="shared" si="18"/>
        <v>0.83333333333333337</v>
      </c>
      <c r="G179" s="49"/>
    </row>
    <row r="180" spans="1:7" x14ac:dyDescent="0.3">
      <c r="A180" s="48">
        <v>45991</v>
      </c>
      <c r="B180" s="27" t="s">
        <v>36</v>
      </c>
      <c r="C180" s="24" t="s">
        <v>24</v>
      </c>
      <c r="D180" s="31">
        <v>0</v>
      </c>
      <c r="E180" s="32">
        <v>4</v>
      </c>
      <c r="F180" s="33">
        <f t="shared" si="18"/>
        <v>0</v>
      </c>
      <c r="G180" s="49"/>
    </row>
    <row r="181" spans="1:7" ht="26.4" x14ac:dyDescent="0.3">
      <c r="A181" s="48">
        <v>45991</v>
      </c>
      <c r="B181" s="27" t="s">
        <v>36</v>
      </c>
      <c r="C181" s="24" t="s">
        <v>62</v>
      </c>
      <c r="D181" s="31">
        <v>0</v>
      </c>
      <c r="E181" s="32">
        <v>1</v>
      </c>
      <c r="F181" s="33">
        <f t="shared" si="18"/>
        <v>0</v>
      </c>
      <c r="G181" s="49"/>
    </row>
    <row r="182" spans="1:7" x14ac:dyDescent="0.3">
      <c r="A182" s="48">
        <v>45991</v>
      </c>
      <c r="B182" s="27" t="s">
        <v>36</v>
      </c>
      <c r="C182" s="24" t="s">
        <v>42</v>
      </c>
      <c r="D182" s="31">
        <v>0</v>
      </c>
      <c r="E182" s="32">
        <v>6</v>
      </c>
      <c r="F182" s="33">
        <f t="shared" si="18"/>
        <v>0</v>
      </c>
      <c r="G182" s="49"/>
    </row>
    <row r="183" spans="1:7" x14ac:dyDescent="0.3">
      <c r="A183" s="48">
        <v>45991</v>
      </c>
      <c r="B183" s="27" t="s">
        <v>36</v>
      </c>
      <c r="C183" s="24" t="s">
        <v>38</v>
      </c>
      <c r="D183" s="31">
        <v>0</v>
      </c>
      <c r="E183" s="32">
        <v>1</v>
      </c>
      <c r="F183" s="33">
        <f t="shared" si="18"/>
        <v>0</v>
      </c>
      <c r="G183" s="49"/>
    </row>
    <row r="184" spans="1:7" x14ac:dyDescent="0.3">
      <c r="A184" s="48">
        <v>45991</v>
      </c>
      <c r="B184" s="27" t="s">
        <v>36</v>
      </c>
      <c r="C184" s="24" t="s">
        <v>39</v>
      </c>
      <c r="D184" s="31">
        <v>0</v>
      </c>
      <c r="E184" s="32">
        <v>1</v>
      </c>
      <c r="F184" s="33">
        <f t="shared" si="18"/>
        <v>0</v>
      </c>
      <c r="G184" s="49"/>
    </row>
    <row r="185" spans="1:7" x14ac:dyDescent="0.3">
      <c r="A185" s="30"/>
      <c r="B185" s="27"/>
      <c r="C185" s="24"/>
      <c r="D185" s="31"/>
      <c r="E185" s="32"/>
      <c r="F185" s="33"/>
      <c r="G185" s="34"/>
    </row>
    <row r="186" spans="1:7" x14ac:dyDescent="0.3">
      <c r="A186" s="30"/>
      <c r="B186" s="27"/>
      <c r="C186" s="24"/>
      <c r="D186" s="31"/>
      <c r="E186" s="32"/>
      <c r="F186" s="33"/>
      <c r="G186" s="34"/>
    </row>
    <row r="187" spans="1:7" x14ac:dyDescent="0.3">
      <c r="A187" s="30"/>
      <c r="B187" s="27"/>
      <c r="C187" s="24"/>
      <c r="D187" s="31"/>
      <c r="E187" s="32"/>
      <c r="F187" s="33"/>
      <c r="G187" s="34"/>
    </row>
    <row r="188" spans="1:7" x14ac:dyDescent="0.3">
      <c r="A188" s="30"/>
      <c r="B188" s="27"/>
      <c r="C188" s="24"/>
      <c r="D188" s="31"/>
      <c r="E188" s="32"/>
      <c r="F188" s="33"/>
      <c r="G188" s="34"/>
    </row>
    <row r="189" spans="1:7" x14ac:dyDescent="0.3">
      <c r="A189" s="30"/>
      <c r="B189" s="27"/>
      <c r="C189" s="24"/>
      <c r="D189" s="31"/>
      <c r="E189" s="32"/>
      <c r="F189" s="33"/>
      <c r="G189" s="34"/>
    </row>
    <row r="190" spans="1:7" x14ac:dyDescent="0.3">
      <c r="A190" s="30"/>
      <c r="B190" s="27"/>
      <c r="C190" s="24"/>
      <c r="D190" s="31"/>
      <c r="E190" s="32"/>
      <c r="F190" s="33"/>
      <c r="G190" s="34"/>
    </row>
    <row r="191" spans="1:7" x14ac:dyDescent="0.3">
      <c r="A191" s="30"/>
      <c r="B191" s="27"/>
      <c r="C191" s="29"/>
      <c r="D191" s="31"/>
      <c r="E191" s="32"/>
      <c r="F191" s="33"/>
      <c r="G191" s="34"/>
    </row>
    <row r="192" spans="1:7" x14ac:dyDescent="0.3">
      <c r="A192" s="30"/>
      <c r="B192" s="27"/>
      <c r="C192" s="29"/>
      <c r="D192" s="31"/>
      <c r="E192" s="32"/>
      <c r="F192" s="33"/>
      <c r="G192" s="34"/>
    </row>
    <row r="193" spans="1:7" x14ac:dyDescent="0.3">
      <c r="A193" s="30"/>
      <c r="B193" s="27"/>
      <c r="C193" s="24"/>
      <c r="D193" s="31"/>
      <c r="E193" s="32"/>
      <c r="F193" s="33"/>
      <c r="G193" s="34"/>
    </row>
    <row r="194" spans="1:7" x14ac:dyDescent="0.3">
      <c r="A194" s="30"/>
      <c r="B194" s="27"/>
      <c r="C194" s="24"/>
      <c r="D194" s="31"/>
      <c r="E194" s="32"/>
      <c r="F194" s="33"/>
      <c r="G194" s="34"/>
    </row>
    <row r="195" spans="1:7" x14ac:dyDescent="0.3">
      <c r="A195" s="30"/>
      <c r="B195" s="27"/>
      <c r="C195" s="24"/>
      <c r="D195" s="31"/>
      <c r="E195" s="32"/>
      <c r="F195" s="33"/>
      <c r="G195" s="34"/>
    </row>
    <row r="196" spans="1:7" x14ac:dyDescent="0.3">
      <c r="A196" s="30"/>
      <c r="B196" s="27"/>
      <c r="C196" s="24"/>
      <c r="D196" s="31"/>
      <c r="E196" s="32"/>
      <c r="F196" s="33"/>
      <c r="G196" s="34"/>
    </row>
    <row r="197" spans="1:7" x14ac:dyDescent="0.3">
      <c r="A197" s="30"/>
      <c r="B197" s="27"/>
      <c r="C197" s="24"/>
      <c r="D197" s="31"/>
      <c r="E197" s="32"/>
      <c r="F197" s="33"/>
      <c r="G197" s="34"/>
    </row>
    <row r="198" spans="1:7" x14ac:dyDescent="0.3">
      <c r="A198" s="30"/>
      <c r="B198" s="27"/>
      <c r="C198" s="24"/>
      <c r="D198" s="31"/>
      <c r="E198" s="32"/>
      <c r="F198" s="33"/>
      <c r="G198" s="34"/>
    </row>
    <row r="199" spans="1:7" x14ac:dyDescent="0.3">
      <c r="A199" s="30"/>
      <c r="B199" s="27"/>
      <c r="C199" s="24"/>
      <c r="D199" s="31"/>
      <c r="E199" s="32"/>
      <c r="F199" s="33"/>
      <c r="G199" s="34"/>
    </row>
    <row r="200" spans="1:7" x14ac:dyDescent="0.3">
      <c r="A200" s="30"/>
      <c r="B200" s="27"/>
      <c r="C200" s="24"/>
      <c r="D200" s="31"/>
      <c r="E200" s="32"/>
      <c r="F200" s="33"/>
      <c r="G200" s="34"/>
    </row>
    <row r="201" spans="1:7" x14ac:dyDescent="0.3">
      <c r="A201" s="30"/>
      <c r="B201" s="27"/>
      <c r="C201" s="24"/>
      <c r="D201" s="31"/>
      <c r="E201" s="32"/>
      <c r="F201" s="33"/>
      <c r="G201" s="34"/>
    </row>
    <row r="202" spans="1:7" x14ac:dyDescent="0.3">
      <c r="A202" s="30"/>
      <c r="B202" s="27"/>
      <c r="C202" s="24"/>
      <c r="D202" s="31"/>
      <c r="E202" s="32"/>
      <c r="F202" s="33"/>
      <c r="G202" s="34"/>
    </row>
    <row r="203" spans="1:7" x14ac:dyDescent="0.3">
      <c r="A203" s="30"/>
      <c r="B203" s="27"/>
      <c r="C203" s="24"/>
      <c r="D203" s="31"/>
      <c r="E203" s="32"/>
      <c r="F203" s="33"/>
      <c r="G203" s="34"/>
    </row>
    <row r="204" spans="1:7" x14ac:dyDescent="0.3">
      <c r="A204" s="30"/>
      <c r="B204" s="27"/>
      <c r="C204" s="24"/>
      <c r="D204" s="31"/>
      <c r="E204" s="32"/>
      <c r="F204" s="33"/>
      <c r="G204" s="34"/>
    </row>
    <row r="205" spans="1:7" x14ac:dyDescent="0.3">
      <c r="A205" s="30"/>
      <c r="B205" s="27"/>
      <c r="C205" s="24"/>
      <c r="D205" s="31"/>
      <c r="E205" s="32"/>
      <c r="F205" s="33"/>
      <c r="G205" s="34"/>
    </row>
    <row r="206" spans="1:7" x14ac:dyDescent="0.3">
      <c r="A206" s="30"/>
      <c r="B206" s="27"/>
      <c r="C206" s="24"/>
      <c r="D206" s="31"/>
      <c r="E206" s="32"/>
      <c r="F206" s="33"/>
      <c r="G206" s="34"/>
    </row>
    <row r="207" spans="1:7" x14ac:dyDescent="0.3">
      <c r="A207" s="30"/>
      <c r="B207" s="27"/>
      <c r="C207" s="24"/>
      <c r="D207" s="31"/>
      <c r="E207" s="32"/>
      <c r="F207" s="33"/>
      <c r="G207" s="34"/>
    </row>
    <row r="208" spans="1:7" x14ac:dyDescent="0.3">
      <c r="A208" s="30"/>
      <c r="B208" s="27"/>
      <c r="C208" s="29"/>
      <c r="D208" s="31"/>
      <c r="E208" s="32"/>
      <c r="F208" s="33"/>
      <c r="G208" s="34"/>
    </row>
    <row r="209" spans="1:7" x14ac:dyDescent="0.3">
      <c r="A209" s="35"/>
      <c r="B209" s="36"/>
      <c r="C209" s="37"/>
      <c r="D209" s="38"/>
      <c r="E209" s="39"/>
      <c r="F209" s="40"/>
      <c r="G209" s="41"/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7FBF7-E939-46DE-B9BE-02DE30355376}">
  <dimension ref="A1:C7"/>
  <sheetViews>
    <sheetView workbookViewId="0">
      <selection activeCell="C10" sqref="C10"/>
    </sheetView>
  </sheetViews>
  <sheetFormatPr baseColWidth="10" defaultRowHeight="14.4" x14ac:dyDescent="0.3"/>
  <cols>
    <col min="1" max="1" width="15.77734375" bestFit="1" customWidth="1"/>
    <col min="2" max="2" width="5.77734375" bestFit="1" customWidth="1"/>
    <col min="3" max="3" width="12.77734375" bestFit="1" customWidth="1"/>
  </cols>
  <sheetData>
    <row r="1" spans="1:3" x14ac:dyDescent="0.3">
      <c r="A1" s="59" t="s">
        <v>73</v>
      </c>
      <c r="B1" s="59" t="s">
        <v>5</v>
      </c>
      <c r="C1" s="59" t="s">
        <v>72</v>
      </c>
    </row>
    <row r="2" spans="1:3" x14ac:dyDescent="0.3">
      <c r="A2" s="56" t="s">
        <v>21</v>
      </c>
      <c r="B2" s="55">
        <v>3</v>
      </c>
      <c r="C2" s="53">
        <v>4</v>
      </c>
    </row>
    <row r="3" spans="1:3" x14ac:dyDescent="0.3">
      <c r="A3" s="57" t="s">
        <v>70</v>
      </c>
      <c r="B3" s="54">
        <v>3</v>
      </c>
      <c r="C3" s="53">
        <v>5</v>
      </c>
    </row>
    <row r="4" spans="1:3" x14ac:dyDescent="0.3">
      <c r="A4" s="56" t="s">
        <v>71</v>
      </c>
      <c r="B4" s="55">
        <v>3</v>
      </c>
      <c r="C4" s="53">
        <v>1</v>
      </c>
    </row>
    <row r="5" spans="1:3" x14ac:dyDescent="0.3">
      <c r="A5" s="57" t="s">
        <v>63</v>
      </c>
      <c r="B5" s="54">
        <v>3</v>
      </c>
      <c r="C5" s="53">
        <v>3</v>
      </c>
    </row>
    <row r="6" spans="1:3" x14ac:dyDescent="0.3">
      <c r="A6" s="58" t="s">
        <v>68</v>
      </c>
      <c r="B6" s="52">
        <v>3</v>
      </c>
      <c r="C6" s="52">
        <v>4</v>
      </c>
    </row>
    <row r="7" spans="1:3" x14ac:dyDescent="0.3">
      <c r="A7" s="58" t="s">
        <v>69</v>
      </c>
      <c r="B7" s="52">
        <v>2</v>
      </c>
      <c r="C7" s="52">
        <v>3</v>
      </c>
    </row>
  </sheetData>
  <sortState xmlns:xlrd2="http://schemas.microsoft.com/office/spreadsheetml/2017/richdata2" ref="A2:C7">
    <sortCondition descending="1" ref="C2:C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3F77-FDF7-4A3F-8DBC-2009EE1B1068}">
  <sheetPr codeName="Hoja3"/>
  <dimension ref="A1:G25"/>
  <sheetViews>
    <sheetView workbookViewId="0">
      <pane ySplit="1" topLeftCell="A17" activePane="bottomLeft" state="frozen"/>
      <selection pane="bottomLeft" activeCell="D14" sqref="D14"/>
    </sheetView>
  </sheetViews>
  <sheetFormatPr baseColWidth="10" defaultRowHeight="14.4" x14ac:dyDescent="0.3"/>
  <cols>
    <col min="2" max="2" width="27.21875" bestFit="1" customWidth="1"/>
    <col min="3" max="3" width="26.77734375" bestFit="1" customWidth="1"/>
    <col min="4" max="4" width="13.5546875" customWidth="1"/>
    <col min="6" max="6" width="19.77734375" customWidth="1"/>
    <col min="7" max="7" width="42.77734375" bestFit="1" customWidth="1"/>
  </cols>
  <sheetData>
    <row r="1" spans="1:7" x14ac:dyDescent="0.3">
      <c r="A1" s="14" t="s">
        <v>20</v>
      </c>
      <c r="B1" s="15" t="s">
        <v>25</v>
      </c>
      <c r="C1" s="15" t="s">
        <v>26</v>
      </c>
      <c r="D1" s="16" t="s">
        <v>27</v>
      </c>
      <c r="E1" s="16" t="s">
        <v>5</v>
      </c>
      <c r="F1" s="16" t="s">
        <v>28</v>
      </c>
      <c r="G1" s="17" t="s">
        <v>35</v>
      </c>
    </row>
    <row r="2" spans="1:7" x14ac:dyDescent="0.3">
      <c r="A2" s="12">
        <v>44957</v>
      </c>
      <c r="B2" s="13" t="s">
        <v>46</v>
      </c>
      <c r="C2" s="13" t="s">
        <v>24</v>
      </c>
      <c r="D2" s="20"/>
      <c r="E2" s="20">
        <v>4</v>
      </c>
      <c r="F2" s="21">
        <f>Objetivosseg2022[[#This Row],[RESULTADO]]/Objetivosseg2022[[#This Row],[META]]</f>
        <v>0</v>
      </c>
      <c r="G2" s="10"/>
    </row>
    <row r="3" spans="1:7" x14ac:dyDescent="0.3">
      <c r="A3" s="12">
        <v>44957</v>
      </c>
      <c r="B3" s="13" t="s">
        <v>46</v>
      </c>
      <c r="C3" s="13" t="s">
        <v>50</v>
      </c>
      <c r="D3" s="11"/>
      <c r="E3" s="11">
        <v>10</v>
      </c>
      <c r="F3" s="21">
        <f>Objetivosseg2022[[#This Row],[RESULTADO]]/Objetivosseg2022[[#This Row],[META]]</f>
        <v>0</v>
      </c>
      <c r="G3" s="10"/>
    </row>
    <row r="4" spans="1:7" x14ac:dyDescent="0.3">
      <c r="A4" s="12">
        <v>44957</v>
      </c>
      <c r="B4" s="13" t="s">
        <v>46</v>
      </c>
      <c r="C4" s="13" t="s">
        <v>32</v>
      </c>
      <c r="D4" s="20"/>
      <c r="E4" s="20">
        <v>4</v>
      </c>
      <c r="F4" s="21">
        <f>Objetivosseg2022[[#This Row],[RESULTADO]]/Objetivosseg2022[[#This Row],[META]]</f>
        <v>0</v>
      </c>
      <c r="G4" s="10"/>
    </row>
    <row r="5" spans="1:7" x14ac:dyDescent="0.3">
      <c r="A5" s="12">
        <v>44957</v>
      </c>
      <c r="B5" s="13" t="s">
        <v>46</v>
      </c>
      <c r="C5" s="13" t="s">
        <v>47</v>
      </c>
      <c r="D5" s="20"/>
      <c r="E5" s="20">
        <v>1</v>
      </c>
      <c r="F5" s="21">
        <f>Objetivosseg2022[[#This Row],[RESULTADO]]/Objetivosseg2022[[#This Row],[META]]</f>
        <v>0</v>
      </c>
      <c r="G5" s="10"/>
    </row>
    <row r="6" spans="1:7" x14ac:dyDescent="0.3">
      <c r="A6" s="12">
        <v>44957</v>
      </c>
      <c r="B6" s="13" t="s">
        <v>46</v>
      </c>
      <c r="C6" s="13" t="s">
        <v>51</v>
      </c>
      <c r="D6" s="20"/>
      <c r="E6" s="20">
        <v>1</v>
      </c>
      <c r="F6" s="21">
        <f>Objetivosseg2022[[#This Row],[RESULTADO]]/Objetivosseg2022[[#This Row],[META]]</f>
        <v>0</v>
      </c>
      <c r="G6" s="10"/>
    </row>
    <row r="7" spans="1:7" x14ac:dyDescent="0.3">
      <c r="A7" s="12">
        <v>44957</v>
      </c>
      <c r="B7" s="13" t="s">
        <v>46</v>
      </c>
      <c r="C7" s="13" t="s">
        <v>52</v>
      </c>
      <c r="D7" s="20"/>
      <c r="E7" s="20">
        <v>1</v>
      </c>
      <c r="F7" s="21">
        <f>Objetivosseg2022[[#This Row],[RESULTADO]]/Objetivosseg2022[[#This Row],[META]]</f>
        <v>0</v>
      </c>
      <c r="G7" s="10"/>
    </row>
    <row r="8" spans="1:7" x14ac:dyDescent="0.3">
      <c r="A8" s="12">
        <v>44958</v>
      </c>
      <c r="B8" s="13" t="s">
        <v>55</v>
      </c>
      <c r="C8" s="13" t="s">
        <v>24</v>
      </c>
      <c r="D8" s="20"/>
      <c r="E8" s="20">
        <v>4</v>
      </c>
      <c r="F8" s="21">
        <f>Objetivosseg2022[[#This Row],[RESULTADO]]/Objetivosseg2022[[#This Row],[META]]</f>
        <v>0</v>
      </c>
      <c r="G8" s="10"/>
    </row>
    <row r="9" spans="1:7" x14ac:dyDescent="0.3">
      <c r="A9" s="12">
        <v>44959</v>
      </c>
      <c r="B9" s="13" t="s">
        <v>55</v>
      </c>
      <c r="C9" s="13" t="s">
        <v>47</v>
      </c>
      <c r="D9" s="20"/>
      <c r="E9" s="20">
        <v>2</v>
      </c>
      <c r="F9" s="21">
        <f>Objetivosseg2022[[#This Row],[RESULTADO]]/Objetivosseg2022[[#This Row],[META]]</f>
        <v>0</v>
      </c>
      <c r="G9" s="10"/>
    </row>
    <row r="10" spans="1:7" x14ac:dyDescent="0.3">
      <c r="A10" s="12">
        <v>44957</v>
      </c>
      <c r="B10" s="13" t="s">
        <v>29</v>
      </c>
      <c r="C10" s="13" t="s">
        <v>24</v>
      </c>
      <c r="D10" s="11"/>
      <c r="E10" s="11">
        <v>4</v>
      </c>
      <c r="F10" s="21">
        <f>Objetivosseg2022[[#This Row],[RESULTADO]]/Objetivosseg2022[[#This Row],[META]]</f>
        <v>0</v>
      </c>
      <c r="G10" s="10"/>
    </row>
    <row r="11" spans="1:7" x14ac:dyDescent="0.3">
      <c r="A11" s="12">
        <v>44957</v>
      </c>
      <c r="B11" s="13" t="s">
        <v>29</v>
      </c>
      <c r="C11" s="13" t="s">
        <v>42</v>
      </c>
      <c r="D11" s="20"/>
      <c r="E11" s="20">
        <v>20</v>
      </c>
      <c r="F11" s="21">
        <f>Objetivosseg2022[[#This Row],[RESULTADO]]/Objetivosseg2022[[#This Row],[META]]</f>
        <v>0</v>
      </c>
      <c r="G11" s="10"/>
    </row>
    <row r="12" spans="1:7" x14ac:dyDescent="0.3">
      <c r="A12" s="12">
        <v>44957</v>
      </c>
      <c r="B12" s="13" t="s">
        <v>29</v>
      </c>
      <c r="C12" s="13" t="s">
        <v>33</v>
      </c>
      <c r="D12" s="11"/>
      <c r="E12" s="11">
        <v>1</v>
      </c>
      <c r="F12" s="21">
        <f>Objetivosseg2022[[#This Row],[RESULTADO]]/Objetivosseg2022[[#This Row],[META]]</f>
        <v>0</v>
      </c>
      <c r="G12" s="10"/>
    </row>
    <row r="13" spans="1:7" x14ac:dyDescent="0.3">
      <c r="A13" s="12">
        <v>44957</v>
      </c>
      <c r="B13" s="13" t="s">
        <v>15</v>
      </c>
      <c r="C13" s="13" t="s">
        <v>24</v>
      </c>
      <c r="D13" s="20"/>
      <c r="E13" s="20">
        <v>4</v>
      </c>
      <c r="F13" s="21">
        <f>Objetivosseg2022[[#This Row],[RESULTADO]]/Objetivosseg2022[[#This Row],[META]]</f>
        <v>0</v>
      </c>
      <c r="G13" s="10"/>
    </row>
    <row r="14" spans="1:7" x14ac:dyDescent="0.3">
      <c r="A14" s="12">
        <v>44957</v>
      </c>
      <c r="B14" s="13" t="s">
        <v>15</v>
      </c>
      <c r="C14" s="13" t="s">
        <v>42</v>
      </c>
      <c r="D14" s="11"/>
      <c r="E14" s="11">
        <v>20</v>
      </c>
      <c r="F14" s="21">
        <f>Objetivosseg2022[[#This Row],[RESULTADO]]/Objetivosseg2022[[#This Row],[META]]</f>
        <v>0</v>
      </c>
      <c r="G14" s="10"/>
    </row>
    <row r="15" spans="1:7" x14ac:dyDescent="0.3">
      <c r="A15" s="12">
        <v>44957</v>
      </c>
      <c r="B15" s="13" t="s">
        <v>15</v>
      </c>
      <c r="C15" s="13" t="s">
        <v>48</v>
      </c>
      <c r="D15" s="20"/>
      <c r="E15" s="20">
        <v>4</v>
      </c>
      <c r="F15" s="21">
        <f>Objetivosseg2022[[#This Row],[RESULTADO]]/Objetivosseg2022[[#This Row],[META]]</f>
        <v>0</v>
      </c>
      <c r="G15" s="10"/>
    </row>
    <row r="16" spans="1:7" x14ac:dyDescent="0.3">
      <c r="A16" s="12">
        <v>44957</v>
      </c>
      <c r="B16" s="13" t="s">
        <v>15</v>
      </c>
      <c r="C16" s="13" t="s">
        <v>49</v>
      </c>
      <c r="D16" s="20"/>
      <c r="E16" s="20">
        <v>1</v>
      </c>
      <c r="F16" s="21">
        <f>Objetivosseg2022[[#This Row],[RESULTADO]]/Objetivosseg2022[[#This Row],[META]]</f>
        <v>0</v>
      </c>
      <c r="G16" s="10"/>
    </row>
    <row r="17" spans="1:7" x14ac:dyDescent="0.3">
      <c r="A17" s="12">
        <v>44957</v>
      </c>
      <c r="B17" s="13" t="s">
        <v>15</v>
      </c>
      <c r="C17" s="13" t="s">
        <v>53</v>
      </c>
      <c r="D17" s="20"/>
      <c r="E17" s="20">
        <v>1</v>
      </c>
      <c r="F17" s="21">
        <f>Objetivosseg2022[[#This Row],[RESULTADO]]/Objetivosseg2022[[#This Row],[META]]</f>
        <v>0</v>
      </c>
      <c r="G17" s="10"/>
    </row>
    <row r="18" spans="1:7" x14ac:dyDescent="0.3">
      <c r="A18" s="12">
        <v>44957</v>
      </c>
      <c r="B18" s="13" t="s">
        <v>30</v>
      </c>
      <c r="C18" s="13" t="s">
        <v>24</v>
      </c>
      <c r="D18" s="20"/>
      <c r="E18" s="20">
        <v>4</v>
      </c>
      <c r="F18" s="21">
        <f>Objetivosseg2022[[#This Row],[RESULTADO]]/Objetivosseg2022[[#This Row],[META]]</f>
        <v>0</v>
      </c>
      <c r="G18" s="10"/>
    </row>
    <row r="19" spans="1:7" x14ac:dyDescent="0.3">
      <c r="A19" s="12">
        <v>44957</v>
      </c>
      <c r="B19" s="13" t="s">
        <v>30</v>
      </c>
      <c r="C19" s="13" t="s">
        <v>42</v>
      </c>
      <c r="D19" s="11"/>
      <c r="E19" s="11">
        <v>20</v>
      </c>
      <c r="F19" s="21">
        <f>Objetivosseg2022[[#This Row],[RESULTADO]]/Objetivosseg2022[[#This Row],[META]]</f>
        <v>0</v>
      </c>
      <c r="G19" s="10"/>
    </row>
    <row r="20" spans="1:7" x14ac:dyDescent="0.3">
      <c r="A20" s="12">
        <v>44957</v>
      </c>
      <c r="B20" s="13" t="s">
        <v>30</v>
      </c>
      <c r="C20" s="13" t="s">
        <v>33</v>
      </c>
      <c r="D20" s="20"/>
      <c r="E20" s="20">
        <v>1</v>
      </c>
      <c r="F20" s="21">
        <f>Objetivosseg2022[[#This Row],[RESULTADO]]/Objetivosseg2022[[#This Row],[META]]</f>
        <v>0</v>
      </c>
      <c r="G20" s="10"/>
    </row>
    <row r="21" spans="1:7" x14ac:dyDescent="0.3">
      <c r="A21" s="12">
        <v>44957</v>
      </c>
      <c r="B21" s="13" t="s">
        <v>31</v>
      </c>
      <c r="C21" s="13" t="s">
        <v>24</v>
      </c>
      <c r="D21" s="11"/>
      <c r="E21" s="11">
        <v>4</v>
      </c>
      <c r="F21" s="21">
        <f>Objetivosseg2022[[#This Row],[RESULTADO]]/Objetivosseg2022[[#This Row],[META]]</f>
        <v>0</v>
      </c>
      <c r="G21" s="10"/>
    </row>
    <row r="22" spans="1:7" x14ac:dyDescent="0.3">
      <c r="A22" s="12">
        <v>44957</v>
      </c>
      <c r="B22" s="13" t="s">
        <v>31</v>
      </c>
      <c r="C22" s="13" t="s">
        <v>42</v>
      </c>
      <c r="D22" s="20"/>
      <c r="E22" s="20">
        <v>20</v>
      </c>
      <c r="F22" s="21">
        <f>Objetivosseg2022[[#This Row],[RESULTADO]]/Objetivosseg2022[[#This Row],[META]]</f>
        <v>0</v>
      </c>
      <c r="G22" s="10"/>
    </row>
    <row r="23" spans="1:7" x14ac:dyDescent="0.3">
      <c r="A23" s="12">
        <v>44957</v>
      </c>
      <c r="B23" s="13" t="s">
        <v>31</v>
      </c>
      <c r="C23" s="13" t="s">
        <v>48</v>
      </c>
      <c r="D23" s="20"/>
      <c r="E23" s="20">
        <v>4</v>
      </c>
      <c r="F23" s="21">
        <f>Objetivosseg2022[[#This Row],[RESULTADO]]/Objetivosseg2022[[#This Row],[META]]</f>
        <v>0</v>
      </c>
      <c r="G23" s="10"/>
    </row>
    <row r="24" spans="1:7" x14ac:dyDescent="0.3">
      <c r="A24" s="12">
        <v>44957</v>
      </c>
      <c r="B24" s="12" t="s">
        <v>34</v>
      </c>
      <c r="C24" s="13" t="s">
        <v>24</v>
      </c>
      <c r="D24" s="11"/>
      <c r="E24" s="11">
        <v>4</v>
      </c>
      <c r="F24" s="21">
        <f>Objetivosseg2022[[#This Row],[RESULTADO]]/Objetivosseg2022[[#This Row],[META]]</f>
        <v>0</v>
      </c>
      <c r="G24" s="10"/>
    </row>
    <row r="25" spans="1:7" x14ac:dyDescent="0.3">
      <c r="A25" s="12">
        <v>44957</v>
      </c>
      <c r="B25" s="12" t="s">
        <v>34</v>
      </c>
      <c r="C25" s="13" t="s">
        <v>42</v>
      </c>
      <c r="D25" s="20"/>
      <c r="E25" s="20">
        <v>20</v>
      </c>
      <c r="F25" s="21">
        <f>Objetivosseg2022[[#This Row],[RESULTADO]]/Objetivosseg2022[[#This Row],[META]]</f>
        <v>0</v>
      </c>
      <c r="G25" s="10"/>
    </row>
  </sheetData>
  <phoneticPr fontId="1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59208197157644B01C2844AC97171D" ma:contentTypeVersion="19" ma:contentTypeDescription="Crear nuevo documento." ma:contentTypeScope="" ma:versionID="bc7cbb1fcb72d5f8b05e87c8ce859221">
  <xsd:schema xmlns:xsd="http://www.w3.org/2001/XMLSchema" xmlns:xs="http://www.w3.org/2001/XMLSchema" xmlns:p="http://schemas.microsoft.com/office/2006/metadata/properties" xmlns:ns1="http://schemas.microsoft.com/sharepoint/v3" xmlns:ns2="b1ba3065-7f0a-4415-ac29-a8c73a1cf533" xmlns:ns3="94718bc8-7c02-4167-9d55-3bfee31cf150" targetNamespace="http://schemas.microsoft.com/office/2006/metadata/properties" ma:root="true" ma:fieldsID="46a6125fa971abd06a31b704fa990b4c" ns1:_="" ns2:_="" ns3:_="">
    <xsd:import namespace="http://schemas.microsoft.com/sharepoint/v3"/>
    <xsd:import namespace="b1ba3065-7f0a-4415-ac29-a8c73a1cf533"/>
    <xsd:import namespace="94718bc8-7c02-4167-9d55-3bfee31cf1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a3065-7f0a-4415-ac29-a8c73a1cf5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98999269-020c-4dd0-84de-6e6b95cd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18bc8-7c02-4167-9d55-3bfee31cf15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9bce89-9f07-49d5-9634-c72c59d4ca9b}" ma:internalName="TaxCatchAll" ma:showField="CatchAllData" ma:web="94718bc8-7c02-4167-9d55-3bfee31cf1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b1ba3065-7f0a-4415-ac29-a8c73a1cf533">
      <Terms xmlns="http://schemas.microsoft.com/office/infopath/2007/PartnerControls"/>
    </lcf76f155ced4ddcb4097134ff3c332f>
    <_ip_UnifiedCompliancePolicyProperties xmlns="http://schemas.microsoft.com/sharepoint/v3" xsi:nil="true"/>
    <TaxCatchAll xmlns="94718bc8-7c02-4167-9d55-3bfee31cf150" xsi:nil="true"/>
  </documentManagement>
</p:properties>
</file>

<file path=customXml/itemProps1.xml><?xml version="1.0" encoding="utf-8"?>
<ds:datastoreItem xmlns:ds="http://schemas.openxmlformats.org/officeDocument/2006/customXml" ds:itemID="{04B19DFC-C301-4786-92C0-91AF479075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518364-44DD-43EE-A9A2-39A75149DA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1ba3065-7f0a-4415-ac29-a8c73a1cf533"/>
    <ds:schemaRef ds:uri="94718bc8-7c02-4167-9d55-3bfee31cf1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565633-C8B2-4C6E-8A20-35E3D58E870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1ba3065-7f0a-4415-ac29-a8c73a1cf533"/>
    <ds:schemaRef ds:uri="94718bc8-7c02-4167-9d55-3bfee31cf1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OBJETIVOS</vt:lpstr>
      <vt:lpstr>basededatos</vt:lpstr>
      <vt:lpstr>Hoja1</vt:lpstr>
      <vt:lpstr>BASE DE 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MPrado</dc:creator>
  <cp:keywords/>
  <dc:description/>
  <cp:lastModifiedBy>Balois Miguel Arevalo Lopez</cp:lastModifiedBy>
  <cp:revision/>
  <dcterms:created xsi:type="dcterms:W3CDTF">2020-07-09T13:12:51Z</dcterms:created>
  <dcterms:modified xsi:type="dcterms:W3CDTF">2026-01-05T20:01:00Z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0x0101005059208197157644B01C2844AC97171D</vt:lpwstr>
  </property>
  <property fmtid="{D5CDD505-2E9C-101B-9397-08002B2CF9AE}" pid="3" name="MediaServiceImageTags">
    <vt:lpwstr/>
  </property>
</Properties>
</file>