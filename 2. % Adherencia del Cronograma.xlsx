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tasaomega.sharepoint.com/sites/REPORTEDEINDICADORESASTILLERO/Documentos compartidos/General/INDICADORES 2025/4. Operaciones/"/>
    </mc:Choice>
  </mc:AlternateContent>
  <xr:revisionPtr revIDLastSave="113" documentId="13_ncr:1_{BB321DE8-F96A-485E-AF34-85C993542827}" xr6:coauthVersionLast="47" xr6:coauthVersionMax="47" xr10:uidLastSave="{8E567916-FC9B-468E-9DBD-07B37F04644F}"/>
  <bookViews>
    <workbookView xWindow="-110" yWindow="-110" windowWidth="19420" windowHeight="10300" firstSheet="12" activeTab="14" xr2:uid="{00000000-000D-0000-FFFF-FFFF00000000}"/>
  </bookViews>
  <sheets>
    <sheet name="NORMALIZACION - CRONOGRAMAS" sheetId="2" r:id="rId1"/>
    <sheet name="BALANCE SCORE CARD -BSC" sheetId="3" r:id="rId2"/>
    <sheet name="PLANIFICACIÓN OBJETIVO" sheetId="25" r:id="rId3"/>
    <sheet name="Evidencia - Enero" sheetId="26" r:id="rId4"/>
    <sheet name="Evidencia - Febrero" sheetId="27" r:id="rId5"/>
    <sheet name="Evidencia - Marzo" sheetId="28" r:id="rId6"/>
    <sheet name="Evidencia - Abril" sheetId="29" r:id="rId7"/>
    <sheet name="Evidencia - Mayo" sheetId="30" r:id="rId8"/>
    <sheet name="Evidencia - Junio" sheetId="31" r:id="rId9"/>
    <sheet name="Evidencia - Julio" sheetId="32" r:id="rId10"/>
    <sheet name="Evidencia - Agosto" sheetId="33" r:id="rId11"/>
    <sheet name="Evidencia - Setiembre" sheetId="34" r:id="rId12"/>
    <sheet name="Evidencia - Octubre" sheetId="35" r:id="rId13"/>
    <sheet name="Evidencia - Noviembre" sheetId="36" r:id="rId14"/>
    <sheet name="Evidencia - Diciembre" sheetId="37" r:id="rId15"/>
  </sheets>
  <externalReferences>
    <externalReference r:id="rId16"/>
  </externalReferences>
  <definedNames>
    <definedName name="_xlnm.Print_Area" localSheetId="1">'BALANCE SCORE CARD -BSC'!$A$1:$P$56</definedName>
    <definedName name="_xlnm.Print_Area" localSheetId="0">'NORMALIZACION - CRONOGRAMAS'!$A$1:$L$49</definedName>
    <definedName name="_xlnm.Print_Area" localSheetId="2">'PLANIFICACIÓN OBJETIVO'!$A$1:$Z$32</definedName>
    <definedName name="Radius">'[1]Velocimetros '!$AK$32</definedName>
    <definedName name="_xlnm.Print_Titles" localSheetId="2">'PLANIFICACIÓN OBJETIVO'!$12:$12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37" l="1"/>
  <c r="K6" i="37"/>
  <c r="H6" i="37"/>
  <c r="E6" i="37"/>
  <c r="H5" i="37"/>
  <c r="H4" i="37"/>
  <c r="N5" i="37"/>
  <c r="K5" i="37"/>
  <c r="E5" i="37"/>
  <c r="N4" i="37"/>
  <c r="K4" i="37"/>
  <c r="O4" i="37" s="1"/>
  <c r="L8" i="37" s="1"/>
  <c r="E4" i="37"/>
  <c r="O4" i="36"/>
  <c r="K4" i="36"/>
  <c r="N4" i="36"/>
  <c r="E4" i="36"/>
  <c r="L11" i="35"/>
  <c r="O9" i="35"/>
  <c r="H9" i="35"/>
  <c r="H7" i="35"/>
  <c r="H8" i="35"/>
  <c r="E8" i="35"/>
  <c r="O8" i="35" s="1"/>
  <c r="E6" i="35"/>
  <c r="O6" i="35" s="1"/>
  <c r="E7" i="35"/>
  <c r="O7" i="35" s="1"/>
  <c r="E5" i="35"/>
  <c r="O5" i="35" s="1"/>
  <c r="E4" i="35"/>
  <c r="O4" i="35" s="1"/>
  <c r="O6" i="34"/>
  <c r="O8" i="34"/>
  <c r="O7" i="34"/>
  <c r="N5" i="34"/>
  <c r="N6" i="34"/>
  <c r="N7" i="34"/>
  <c r="N8" i="34"/>
  <c r="K8" i="34"/>
  <c r="K6" i="34"/>
  <c r="H6" i="34"/>
  <c r="K5" i="34"/>
  <c r="H5" i="34"/>
  <c r="E5" i="34"/>
  <c r="N4" i="34"/>
  <c r="K4" i="34"/>
  <c r="H4" i="34"/>
  <c r="E4" i="34"/>
  <c r="O11" i="33"/>
  <c r="O10" i="33"/>
  <c r="O9" i="33"/>
  <c r="O8" i="33"/>
  <c r="O5" i="33"/>
  <c r="O6" i="33"/>
  <c r="O7" i="33"/>
  <c r="O4" i="33"/>
  <c r="E8" i="33"/>
  <c r="H8" i="33"/>
  <c r="K8" i="33"/>
  <c r="O6" i="32"/>
  <c r="O5" i="32"/>
  <c r="O4" i="32"/>
  <c r="E5" i="32"/>
  <c r="H5" i="32"/>
  <c r="K6" i="32"/>
  <c r="K5" i="32"/>
  <c r="N4" i="32"/>
  <c r="K4" i="32"/>
  <c r="H4" i="32"/>
  <c r="O6" i="31"/>
  <c r="O5" i="31"/>
  <c r="O4" i="31"/>
  <c r="N6" i="31"/>
  <c r="N4" i="31"/>
  <c r="K6" i="31"/>
  <c r="O5" i="37" l="1"/>
  <c r="O6" i="37"/>
  <c r="L6" i="36"/>
  <c r="O5" i="34"/>
  <c r="O4" i="34"/>
  <c r="L10" i="34" s="1"/>
  <c r="L13" i="33"/>
  <c r="L8" i="32"/>
  <c r="N5" i="31"/>
  <c r="K4" i="31"/>
  <c r="H4" i="31"/>
  <c r="E4" i="31"/>
  <c r="O5" i="29"/>
  <c r="O4" i="29"/>
  <c r="N5" i="29"/>
  <c r="K5" i="29"/>
  <c r="K4" i="29"/>
  <c r="H5" i="29"/>
  <c r="H4" i="29"/>
  <c r="E5" i="29"/>
  <c r="E4" i="29"/>
  <c r="L13" i="28" l="1"/>
  <c r="O11" i="28"/>
  <c r="O8" i="28"/>
  <c r="O6" i="28"/>
  <c r="O5" i="28"/>
  <c r="O7" i="28"/>
  <c r="O9" i="28"/>
  <c r="O10" i="28"/>
  <c r="O4" i="28"/>
  <c r="L13" i="27"/>
  <c r="O11" i="27"/>
  <c r="O9" i="27"/>
  <c r="O8" i="27"/>
  <c r="O10" i="27"/>
  <c r="O7" i="27"/>
  <c r="O6" i="27"/>
  <c r="O5" i="27"/>
  <c r="O4" i="27"/>
  <c r="L8" i="26"/>
  <c r="K5" i="26"/>
  <c r="K6" i="26"/>
  <c r="N5" i="26"/>
  <c r="N6" i="26"/>
  <c r="O6" i="26" s="1"/>
  <c r="O5" i="26"/>
  <c r="N4" i="26"/>
  <c r="O4" i="26" s="1"/>
  <c r="K4" i="26"/>
  <c r="H9" i="33"/>
  <c r="K9" i="33"/>
  <c r="N9" i="33"/>
  <c r="H7" i="33"/>
  <c r="K7" i="33"/>
  <c r="N7" i="33"/>
  <c r="K10" i="33"/>
  <c r="N10" i="33"/>
  <c r="H4" i="33"/>
  <c r="K4" i="33"/>
  <c r="N4" i="33"/>
  <c r="H5" i="33"/>
  <c r="K5" i="33"/>
  <c r="N5" i="33"/>
  <c r="H6" i="33"/>
  <c r="K6" i="33"/>
  <c r="N6" i="33"/>
  <c r="N11" i="33"/>
  <c r="E4" i="33"/>
  <c r="E5" i="33"/>
  <c r="E6" i="33"/>
  <c r="E7" i="33"/>
  <c r="L13" i="31" l="1"/>
  <c r="L13" i="29"/>
  <c r="O12" i="3" l="1"/>
  <c r="V17" i="25" l="1"/>
  <c r="U17" i="25"/>
  <c r="T17" i="25"/>
  <c r="S17" i="25"/>
  <c r="V19" i="25"/>
  <c r="U19" i="25"/>
  <c r="T19" i="25"/>
  <c r="S19" i="25"/>
  <c r="V15" i="25"/>
  <c r="U15" i="25"/>
  <c r="T15" i="25"/>
  <c r="S15" i="25"/>
  <c r="W17" i="25" l="1"/>
  <c r="W19" i="25"/>
  <c r="W15" i="25"/>
  <c r="T13" i="25" l="1"/>
  <c r="V27" i="25" l="1"/>
  <c r="U27" i="25"/>
  <c r="T27" i="25"/>
  <c r="S27" i="25"/>
  <c r="V25" i="25"/>
  <c r="U25" i="25"/>
  <c r="T25" i="25"/>
  <c r="S25" i="25"/>
  <c r="V23" i="25"/>
  <c r="U23" i="25"/>
  <c r="T23" i="25"/>
  <c r="S23" i="25"/>
  <c r="V21" i="25"/>
  <c r="U21" i="25"/>
  <c r="T21" i="25"/>
  <c r="S21" i="25"/>
  <c r="V13" i="25"/>
  <c r="U13" i="25"/>
  <c r="S13" i="25"/>
  <c r="W13" i="25" l="1"/>
  <c r="W23" i="25"/>
  <c r="W27" i="25"/>
  <c r="W21" i="25"/>
  <c r="W25" i="25"/>
  <c r="W29" i="2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FGAJARDO</author>
  </authors>
  <commentList>
    <comment ref="G21" authorId="0" shapeId="0" xr:uid="{00000000-0006-0000-0000-000001000000}">
      <text>
        <r>
          <rPr>
            <b/>
            <sz val="9"/>
            <color indexed="81"/>
            <rFont val="Tahoma"/>
            <family val="2"/>
          </rPr>
          <t>Fuente de los datos y/o método de cálculo de los mismos.</t>
        </r>
      </text>
    </comment>
  </commentList>
</comments>
</file>

<file path=xl/sharedStrings.xml><?xml version="1.0" encoding="utf-8"?>
<sst xmlns="http://schemas.openxmlformats.org/spreadsheetml/2006/main" count="596" uniqueCount="198">
  <si>
    <t>% Adherencia del Cronograma</t>
  </si>
  <si>
    <t>SUBGERENCIA:</t>
  </si>
  <si>
    <t>Astillero</t>
  </si>
  <si>
    <t>ELABORADO POR:</t>
  </si>
  <si>
    <t>Jefe de Operaciones / Asistente de Operaciones</t>
  </si>
  <si>
    <t>F. ELAB.</t>
  </si>
  <si>
    <t>VERSIÓN N°</t>
  </si>
  <si>
    <t>ÁREA:</t>
  </si>
  <si>
    <t>Operaciones</t>
  </si>
  <si>
    <t>APROBADO POR:</t>
  </si>
  <si>
    <t>Subgerente de Astillero</t>
  </si>
  <si>
    <t>F. APROB.</t>
  </si>
  <si>
    <t>1. OBJETIVOS</t>
  </si>
  <si>
    <t>1.1 Optimizar el desempeño del proyecto mediante el cumplimiento de la línea base del proyecto
1.2 Permitirá identificar los factores que impiden cumplir con los plazos establecidos.
1.3 Es un indicador que mide la efectividad del proceso de Operaciones.</t>
  </si>
  <si>
    <t>1.1 Expresión Conceptual:</t>
  </si>
  <si>
    <t>Promedio del porcentaje de avance real sobre porcentaje de avanceprogramado x 100</t>
  </si>
  <si>
    <t>1.2 Expresión Matemática:</t>
  </si>
  <si>
    <t>3. NIVELES DE REFERENCIA</t>
  </si>
  <si>
    <t>4. SUB-DIVISIONES</t>
  </si>
  <si>
    <t>Histórico (últimos 05 años): No se tiene</t>
  </si>
  <si>
    <t>Tipos de proyectos</t>
  </si>
  <si>
    <t>Por tipo de clientes</t>
  </si>
  <si>
    <t>Propios</t>
  </si>
  <si>
    <t>Estándar:</t>
  </si>
  <si>
    <t>≥ 91%</t>
  </si>
  <si>
    <t>Terceros</t>
  </si>
  <si>
    <t>Planificado (Meta):</t>
  </si>
  <si>
    <t>&gt; 90</t>
  </si>
  <si>
    <t>Por tipo de casco</t>
  </si>
  <si>
    <t>Acero</t>
  </si>
  <si>
    <t>Competencia:</t>
  </si>
  <si>
    <t>N/D</t>
  </si>
  <si>
    <t>Madera</t>
  </si>
  <si>
    <t>Estado del Arte:</t>
  </si>
  <si>
    <t>Por tipo de embarcación</t>
  </si>
  <si>
    <t>Pesquera</t>
  </si>
  <si>
    <t>Multipropósitos</t>
  </si>
  <si>
    <t>Auxiliares</t>
  </si>
  <si>
    <t>5. CONSIDERACIONES DE GESTIÓN</t>
  </si>
  <si>
    <t>6. INFORMACIÓN Y DATOS</t>
  </si>
  <si>
    <t>3.1 Semaforización:</t>
  </si>
  <si>
    <t xml:space="preserve">Fuente de información: Reporte semanal de control de avance del área de Control de proyectos.     
El levantamiento de la información es por: Proyecto.      
El análisis del cumplimiento se hace de forma semanal.      
El Asistente de operaciones consolidan la información.    </t>
  </si>
  <si>
    <t xml:space="preserve">&gt;90% </t>
  </si>
  <si>
    <t xml:space="preserve"> ≥80% y &lt;90%</t>
  </si>
  <si>
    <t>&lt; 80%</t>
  </si>
  <si>
    <t>3.2 Periodicidad:</t>
  </si>
  <si>
    <t>Mensual</t>
  </si>
  <si>
    <t>3.3 Responsables:</t>
  </si>
  <si>
    <t>del cálculo:</t>
  </si>
  <si>
    <t>Jefe de Operaciones / Supervisor de Proyectos / Asistente de Operaciones</t>
  </si>
  <si>
    <t>del análisis y plan de acción:</t>
  </si>
  <si>
    <t>7. ÁRBOL DE FACTORES Y NIVELES DE RESPONSABILIDAD</t>
  </si>
  <si>
    <t>OBJETIVO</t>
  </si>
  <si>
    <t>Optimizar el desempeño del proyecto mediante el cumplimiento de la línea base del proyecto</t>
  </si>
  <si>
    <t>FORMULA DE CALCULO</t>
  </si>
  <si>
    <t>FUENTE DE INFORMACIÓN</t>
  </si>
  <si>
    <t>Reporte de control de avance de cada proyecto.</t>
  </si>
  <si>
    <t>RESPONSABLES</t>
  </si>
  <si>
    <t>Jefe de Operaciones</t>
  </si>
  <si>
    <t>FRECUENCIA DE MEDICIÓN</t>
  </si>
  <si>
    <t>Semanal</t>
  </si>
  <si>
    <t>UNIDAD DE MEDIDA</t>
  </si>
  <si>
    <t>Porcentaje (%)</t>
  </si>
  <si>
    <t>MES DE REPORTE</t>
  </si>
  <si>
    <t>Junio</t>
  </si>
  <si>
    <t>REPRESENTACIÓN DEL INDICADOR</t>
  </si>
  <si>
    <t>MES</t>
  </si>
  <si>
    <t>ENE</t>
  </si>
  <si>
    <t>FEB</t>
  </si>
  <si>
    <t>MAR</t>
  </si>
  <si>
    <t>ABR</t>
  </si>
  <si>
    <t>MAY</t>
  </si>
  <si>
    <t>JUN</t>
  </si>
  <si>
    <t>JUL</t>
  </si>
  <si>
    <t>AGO</t>
  </si>
  <si>
    <t>SET</t>
  </si>
  <si>
    <t>OCT</t>
  </si>
  <si>
    <t>NOV</t>
  </si>
  <si>
    <t>DIC</t>
  </si>
  <si>
    <t></t>
  </si>
  <si>
    <t>REAL</t>
  </si>
  <si>
    <t>ANALISIS DESVIACION DEL INDICADOR</t>
  </si>
  <si>
    <t>N° SAC</t>
  </si>
  <si>
    <t>CAUSA RAIZ</t>
  </si>
  <si>
    <t xml:space="preserve">ACCIONES </t>
  </si>
  <si>
    <t>RESPONSABLE</t>
  </si>
  <si>
    <t>FECHA DE IMPLEMENTACION</t>
  </si>
  <si>
    <t>Enero</t>
  </si>
  <si>
    <t>Febrero</t>
  </si>
  <si>
    <t>Marzo</t>
  </si>
  <si>
    <t>Abril</t>
  </si>
  <si>
    <t>Mayo</t>
  </si>
  <si>
    <t>Julio</t>
  </si>
  <si>
    <t>Agosto</t>
  </si>
  <si>
    <t>Setiembre</t>
  </si>
  <si>
    <t>Octubre</t>
  </si>
  <si>
    <t>Noviembre</t>
  </si>
  <si>
    <t>Diciembre</t>
  </si>
  <si>
    <r>
      <rPr>
        <b/>
        <sz val="14"/>
        <rFont val="Calibri"/>
        <family val="2"/>
      </rPr>
      <t xml:space="preserve">NOTA:
</t>
    </r>
    <r>
      <rPr>
        <sz val="14"/>
        <rFont val="Calibri"/>
        <family val="2"/>
      </rPr>
      <t xml:space="preserve">
</t>
    </r>
    <r>
      <rPr>
        <b/>
        <sz val="14"/>
        <rFont val="Calibri"/>
        <family val="2"/>
      </rPr>
      <t xml:space="preserve">* </t>
    </r>
    <r>
      <rPr>
        <sz val="14"/>
        <rFont val="Calibri"/>
        <family val="2"/>
      </rPr>
      <t xml:space="preserve">El cuadro de </t>
    </r>
    <r>
      <rPr>
        <b/>
        <sz val="14"/>
        <rFont val="Calibri"/>
        <family val="2"/>
      </rPr>
      <t>ANALISIS DE DESVIACIÓN DEL INDICADOR</t>
    </r>
    <r>
      <rPr>
        <sz val="14"/>
        <rFont val="Calibri"/>
        <family val="2"/>
      </rPr>
      <t xml:space="preserve">, se llenará en caso el indicador se encuentre en </t>
    </r>
    <r>
      <rPr>
        <b/>
        <sz val="14"/>
        <color rgb="FFFF0000"/>
        <rFont val="Calibri"/>
        <family val="2"/>
      </rPr>
      <t>ROJO</t>
    </r>
    <r>
      <rPr>
        <sz val="14"/>
        <rFont val="Calibri"/>
        <family val="2"/>
      </rPr>
      <t xml:space="preserve"> / </t>
    </r>
    <r>
      <rPr>
        <b/>
        <sz val="14"/>
        <color rgb="FFFFC000"/>
        <rFont val="Calibri"/>
        <family val="2"/>
      </rPr>
      <t xml:space="preserve">AMARILLO. </t>
    </r>
    <r>
      <rPr>
        <sz val="14"/>
        <rFont val="Calibri"/>
        <family val="2"/>
      </rPr>
      <t xml:space="preserve">Se asignará una SAC para el análisis de la causa raíz y planteamiento de las acciones correctivas correspondientes en caso se tengan 03 meses consecutivos en caso el indicador se encuentre el </t>
    </r>
    <r>
      <rPr>
        <b/>
        <sz val="14"/>
        <color rgb="FFFFC000"/>
        <rFont val="Calibri"/>
        <family val="2"/>
      </rPr>
      <t>AMARILLO</t>
    </r>
    <r>
      <rPr>
        <sz val="14"/>
        <rFont val="Calibri"/>
        <family val="2"/>
      </rPr>
      <t xml:space="preserve"> o en </t>
    </r>
    <r>
      <rPr>
        <b/>
        <sz val="14"/>
        <color rgb="FFFF0000"/>
        <rFont val="Calibri"/>
        <family val="2"/>
      </rPr>
      <t>ROJO</t>
    </r>
    <r>
      <rPr>
        <sz val="14"/>
        <rFont val="Calibri"/>
        <family val="2"/>
      </rPr>
      <t xml:space="preserve">. En caso excepcional, puede aperturarse una SAC en caso el dueño del proceso y/o subgerencia de astillero lo considere necesario.
</t>
    </r>
    <r>
      <rPr>
        <b/>
        <sz val="14"/>
        <rFont val="Calibri"/>
        <family val="2"/>
      </rPr>
      <t>*</t>
    </r>
    <r>
      <rPr>
        <sz val="14"/>
        <rFont val="Calibri"/>
        <family val="2"/>
      </rPr>
      <t xml:space="preserve"> Cuando no se reporten datos en el mes se pintara el recuadro de color </t>
    </r>
    <r>
      <rPr>
        <b/>
        <sz val="14"/>
        <color rgb="FF00B0F0"/>
        <rFont val="Calibri"/>
        <family val="2"/>
      </rPr>
      <t xml:space="preserve">CELESTE                        </t>
    </r>
    <r>
      <rPr>
        <sz val="14"/>
        <rFont val="Calibri"/>
        <family val="2"/>
      </rPr>
      <t xml:space="preserve">.
</t>
    </r>
  </si>
  <si>
    <t>PLANIFICACION DE OBJETIVOS</t>
  </si>
  <si>
    <t>P</t>
  </si>
  <si>
    <t>E</t>
  </si>
  <si>
    <t xml:space="preserve"> </t>
  </si>
  <si>
    <t>R</t>
  </si>
  <si>
    <t>Objetivo</t>
  </si>
  <si>
    <t>N</t>
  </si>
  <si>
    <t>Descripción</t>
  </si>
  <si>
    <t>Formula</t>
  </si>
  <si>
    <t>Meta</t>
  </si>
  <si>
    <t>&gt;90%</t>
  </si>
  <si>
    <t>Frecuencia</t>
  </si>
  <si>
    <t>Presupuesto / Recursos</t>
  </si>
  <si>
    <t>CeCo del Área Operaciones; 01 Jefe de Operaciones; 01 Asistente de Operaciones; 02 Supervisor de Proyectos; 03 Supervisores de instalaciones navales; 01 Supervisor de maniobras; laptop; Desktop; impresora; celulares; EPPs</t>
  </si>
  <si>
    <t>Área</t>
  </si>
  <si>
    <t>Dueño de Proceso</t>
  </si>
  <si>
    <t>Jefe de operaciones</t>
  </si>
  <si>
    <t>Nº</t>
  </si>
  <si>
    <t>Descripción de la actividad</t>
  </si>
  <si>
    <t>Responsable de la ejecución</t>
  </si>
  <si>
    <t>AÑO 2025</t>
  </si>
  <si>
    <t>Fecha de Verificación</t>
  </si>
  <si>
    <t>Cumplimiento</t>
  </si>
  <si>
    <t xml:space="preserve">% de cumplimiento </t>
  </si>
  <si>
    <t xml:space="preserve">Estado </t>
  </si>
  <si>
    <t>Observaciones</t>
  </si>
  <si>
    <t>F</t>
  </si>
  <si>
    <t>M</t>
  </si>
  <si>
    <t>A</t>
  </si>
  <si>
    <t>J</t>
  </si>
  <si>
    <t>S</t>
  </si>
  <si>
    <t>O</t>
  </si>
  <si>
    <t>D</t>
  </si>
  <si>
    <t>Prog.</t>
  </si>
  <si>
    <t>Repro.</t>
  </si>
  <si>
    <t xml:space="preserve">Ejec. </t>
  </si>
  <si>
    <t>No Ejec.</t>
  </si>
  <si>
    <t xml:space="preserve">Reuniones diarias de coordinación de trabajos de los proyectos en ejecución con el personal involucrado.
</t>
  </si>
  <si>
    <t>Supervisor de Proyectos</t>
  </si>
  <si>
    <t>Inspección en campo de cada proyecto</t>
  </si>
  <si>
    <t>Reportar vía correo electrónico los retrasos generados durante la ejecución de los proyectos por parte de otras áreas( Logística, Almacen, Diseño, Control de calidad y otros)</t>
  </si>
  <si>
    <t>Actualización de los cronogramas de los proyectos máximo hasta los días sábados, con la finalidad que el reporte de control de proyectos se haga con el cronograma actualizado</t>
  </si>
  <si>
    <t>Revisión de reporte de control de avance de producción</t>
  </si>
  <si>
    <t xml:space="preserve">Total </t>
  </si>
  <si>
    <t>ITEM</t>
  </si>
  <si>
    <t>EMBARCACION</t>
  </si>
  <si>
    <t>Al cierre de Enero</t>
  </si>
  <si>
    <t>Promedio 
adherencia
 mensual</t>
  </si>
  <si>
    <t>1era. Semana</t>
  </si>
  <si>
    <t>2 da. Semana</t>
  </si>
  <si>
    <t>3 era. Semana</t>
  </si>
  <si>
    <t>4 ta. Semana</t>
  </si>
  <si>
    <t>Real</t>
  </si>
  <si>
    <t>Prog</t>
  </si>
  <si>
    <t>% Adherencia</t>
  </si>
  <si>
    <t>EP MODESTO 8</t>
  </si>
  <si>
    <t>CHATA FERROLES 4</t>
  </si>
  <si>
    <t>REM TRITON</t>
  </si>
  <si>
    <t>TOTAL</t>
  </si>
  <si>
    <t>% DE CUMPLIMIENTO</t>
  </si>
  <si>
    <t>Al cierre de Febrero</t>
  </si>
  <si>
    <t>EP TASA 412</t>
  </si>
  <si>
    <t>CHATA CALLAO</t>
  </si>
  <si>
    <t>EP TASA 310</t>
  </si>
  <si>
    <t>EP TASA 418</t>
  </si>
  <si>
    <t>CHATA SUPE</t>
  </si>
  <si>
    <t>EP TASA 17</t>
  </si>
  <si>
    <t>Al cierre de Marzo</t>
  </si>
  <si>
    <t>TERESA</t>
  </si>
  <si>
    <t>MACABI 9</t>
  </si>
  <si>
    <t>Al cierre de Abril</t>
  </si>
  <si>
    <t>Nota: En este mes no se tubo proyectos</t>
  </si>
  <si>
    <t>Al cierre de Junio</t>
  </si>
  <si>
    <t>RM CUAJONE</t>
  </si>
  <si>
    <t>SIMY 3</t>
  </si>
  <si>
    <t>REM NYLAM</t>
  </si>
  <si>
    <t>Al cierre de Agosto</t>
  </si>
  <si>
    <t>Al cierre de Julio</t>
  </si>
  <si>
    <t>RM TIBURON 2</t>
  </si>
  <si>
    <t>RM NAYLAMP</t>
  </si>
  <si>
    <t>RM CASTOR</t>
  </si>
  <si>
    <t>RIMAC</t>
  </si>
  <si>
    <t>CH PISCO</t>
  </si>
  <si>
    <t>TIBURON 9</t>
  </si>
  <si>
    <t>AURELIA</t>
  </si>
  <si>
    <t>TASA 35</t>
  </si>
  <si>
    <t>TASA 34</t>
  </si>
  <si>
    <t>CH EXALMAR</t>
  </si>
  <si>
    <t>TIBURON 2</t>
  </si>
  <si>
    <t>Al cierre de Septiembre</t>
  </si>
  <si>
    <t>DON MILTON</t>
  </si>
  <si>
    <t>MODESTO 7</t>
  </si>
  <si>
    <t>MODESTO 9</t>
  </si>
  <si>
    <t>Al cierre de octubre</t>
  </si>
  <si>
    <t>COQUI XV(EX DANIA 1)</t>
  </si>
  <si>
    <t>Al cierre de noviembre</t>
  </si>
  <si>
    <t>REM HUARI</t>
  </si>
  <si>
    <t>SAMA 1(MODIFICACION)</t>
  </si>
  <si>
    <t>TASA 111 (DESGUACE)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</si>
</sst>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 ;_ * \-#,##0.00_ ;_ * &quot;-&quot;??_ ;_ @_ "/>
    <numFmt numFmtId="165" formatCode="_(* #,##0.00_);_(* \(#,##0.00\);_(* &quot;-&quot;??_);_(@_)"/>
    <numFmt numFmtId="166" formatCode="0.0"/>
    <numFmt numFmtId="167" formatCode="_(* #,##0.0_);_(* \(#,##0.0\);_(* &quot;-&quot;??_);_(@_)"/>
  </numFmts>
  <fonts count="46">
    <font>
      <sz val="10"/>
      <name val="Arial"/>
    </font>
    <font>
      <b/>
      <sz val="24"/>
      <name val="Arial"/>
      <family val="2"/>
    </font>
    <font>
      <sz val="10"/>
      <name val="Arial"/>
      <family val="2"/>
    </font>
    <font>
      <sz val="14"/>
      <name val="Arial"/>
      <family val="2"/>
    </font>
    <font>
      <b/>
      <sz val="9"/>
      <color indexed="81"/>
      <name val="Tahoma"/>
      <family val="2"/>
    </font>
    <font>
      <sz val="10"/>
      <name val="TheSansCorrespondence"/>
    </font>
    <font>
      <sz val="10"/>
      <name val="Tahoma"/>
      <family val="2"/>
    </font>
    <font>
      <sz val="12"/>
      <name val="Century Gothic"/>
      <family val="2"/>
    </font>
    <font>
      <b/>
      <sz val="12"/>
      <name val="Century Gothic"/>
      <family val="2"/>
    </font>
    <font>
      <sz val="12"/>
      <color theme="1"/>
      <name val="Century Gothic"/>
      <family val="2"/>
    </font>
    <font>
      <u/>
      <sz val="12"/>
      <name val="Century Gothic"/>
      <family val="2"/>
    </font>
    <font>
      <sz val="10"/>
      <name val="Century Gothic"/>
      <family val="2"/>
    </font>
    <font>
      <b/>
      <sz val="14"/>
      <color theme="1"/>
      <name val="Century Gothic"/>
      <family val="2"/>
    </font>
    <font>
      <sz val="8"/>
      <name val="Arial"/>
      <family val="2"/>
    </font>
    <font>
      <sz val="10"/>
      <color theme="1"/>
      <name val="Arial"/>
      <family val="2"/>
    </font>
    <font>
      <b/>
      <sz val="14"/>
      <color theme="1"/>
      <name val="Arial"/>
      <family val="2"/>
    </font>
    <font>
      <b/>
      <sz val="11"/>
      <name val="Century Gothic"/>
      <family val="2"/>
    </font>
    <font>
      <sz val="11"/>
      <name val="Century Gothic"/>
      <family val="2"/>
    </font>
    <font>
      <b/>
      <sz val="10"/>
      <color theme="0"/>
      <name val="Arial"/>
      <family val="2"/>
    </font>
    <font>
      <b/>
      <i/>
      <sz val="12"/>
      <name val="Century Gothic"/>
      <family val="2"/>
    </font>
    <font>
      <b/>
      <sz val="12"/>
      <name val="Calibri"/>
      <family val="2"/>
    </font>
    <font>
      <sz val="12"/>
      <color rgb="FF000000"/>
      <name val="Calibri"/>
      <family val="2"/>
    </font>
    <font>
      <sz val="12"/>
      <name val="Calibri"/>
      <family val="2"/>
    </font>
    <font>
      <sz val="10"/>
      <name val="Calibri"/>
      <family val="2"/>
    </font>
    <font>
      <sz val="8"/>
      <name val="Arial"/>
      <family val="2"/>
    </font>
    <font>
      <b/>
      <sz val="14"/>
      <name val="Calibri"/>
      <family val="2"/>
    </font>
    <font>
      <sz val="14"/>
      <name val="Calibri"/>
      <family val="2"/>
    </font>
    <font>
      <sz val="14"/>
      <color theme="0"/>
      <name val="Calibri"/>
      <family val="2"/>
    </font>
    <font>
      <sz val="14"/>
      <color indexed="55"/>
      <name val="Calibri"/>
      <family val="2"/>
    </font>
    <font>
      <b/>
      <sz val="14"/>
      <color theme="0"/>
      <name val="Calibri"/>
      <family val="2"/>
    </font>
    <font>
      <b/>
      <sz val="14"/>
      <color rgb="FFFF0000"/>
      <name val="Calibri"/>
      <family val="2"/>
    </font>
    <font>
      <b/>
      <sz val="14"/>
      <color indexed="12"/>
      <name val="Calibri"/>
      <family val="2"/>
    </font>
    <font>
      <b/>
      <u/>
      <sz val="14"/>
      <color indexed="12"/>
      <name val="Calibri"/>
      <family val="2"/>
    </font>
    <font>
      <b/>
      <sz val="14"/>
      <color theme="1"/>
      <name val="Calibri"/>
      <family val="2"/>
    </font>
    <font>
      <sz val="14"/>
      <color theme="1"/>
      <name val="Calibri"/>
      <family val="2"/>
    </font>
    <font>
      <sz val="14"/>
      <color indexed="12"/>
      <name val="Calibri"/>
      <family val="2"/>
    </font>
    <font>
      <b/>
      <sz val="14"/>
      <color rgb="FFFFC000"/>
      <name val="Calibri"/>
      <family val="2"/>
    </font>
    <font>
      <b/>
      <sz val="14"/>
      <color rgb="FF00B0F0"/>
      <name val="Calibri"/>
      <family val="2"/>
    </font>
    <font>
      <sz val="10"/>
      <name val="Arial"/>
      <family val="2"/>
    </font>
    <font>
      <b/>
      <sz val="10"/>
      <name val="Arial"/>
      <family val="2"/>
    </font>
    <font>
      <b/>
      <sz val="24"/>
      <color theme="1"/>
      <name val="Century Gothic"/>
      <family val="2"/>
    </font>
    <font>
      <b/>
      <sz val="24"/>
      <name val="Calibri"/>
      <family val="2"/>
    </font>
    <font>
      <sz val="11"/>
      <color rgb="FF000000"/>
      <name val="Calibri"/>
      <family val="2"/>
    </font>
    <font>
      <sz val="8"/>
      <name val="Arial"/>
      <family val="2"/>
    </font>
    <font>
      <sz val="12"/>
      <name val="Aptos"/>
      <family val="2"/>
    </font>
    <font>
      <b/>
      <sz val="36"/>
      <color theme="1"/>
      <name val="Calibri"/>
      <family val="2"/>
    </font>
  </fonts>
  <fills count="23">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9"/>
        <bgColor indexed="64"/>
      </patternFill>
    </fill>
    <fill>
      <patternFill patternType="solid">
        <fgColor indexed="65"/>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00FF00"/>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rgb="FFB8CCE4"/>
        <bgColor rgb="FF000000"/>
      </patternFill>
    </fill>
    <fill>
      <patternFill patternType="solid">
        <fgColor rgb="FFBDD7EE"/>
        <bgColor indexed="64"/>
      </patternFill>
    </fill>
    <fill>
      <patternFill patternType="solid">
        <fgColor theme="0"/>
        <bgColor theme="4" tint="0.59999389629810485"/>
      </patternFill>
    </fill>
    <fill>
      <patternFill patternType="solid">
        <fgColor rgb="FF92D050"/>
        <bgColor indexed="64"/>
      </patternFill>
    </fill>
    <fill>
      <patternFill patternType="solid">
        <fgColor rgb="FF92D050"/>
        <bgColor rgb="FF000000"/>
      </patternFill>
    </fill>
    <fill>
      <patternFill patternType="solid">
        <fgColor rgb="FFDDEBF7"/>
        <bgColor indexed="64"/>
      </patternFill>
    </fill>
    <fill>
      <patternFill patternType="solid">
        <fgColor rgb="FF00B0F0"/>
        <bgColor indexed="64"/>
      </patternFill>
    </fill>
    <fill>
      <patternFill patternType="solid">
        <fgColor rgb="FF00B0F0"/>
        <bgColor theme="4" tint="0.59999389629810485"/>
      </patternFill>
    </fill>
    <fill>
      <patternFill patternType="solid">
        <fgColor rgb="FF0070C0"/>
        <bgColor indexed="64"/>
      </patternFill>
    </fill>
  </fills>
  <borders count="7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diagonal/>
    </border>
    <border>
      <left/>
      <right style="thin">
        <color theme="1"/>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rgb="FF9BC2E6"/>
      </bottom>
      <diagonal/>
    </border>
    <border>
      <left/>
      <right style="medium">
        <color rgb="FF9BC2E6"/>
      </right>
      <top/>
      <bottom style="medium">
        <color rgb="FF9BC2E6"/>
      </bottom>
      <diagonal/>
    </border>
  </borders>
  <cellStyleXfs count="11">
    <xf numFmtId="0" fontId="0" fillId="0" borderId="0"/>
    <xf numFmtId="165" fontId="2" fillId="0" borderId="0" applyFont="0" applyFill="0" applyBorder="0" applyAlignment="0" applyProtection="0"/>
    <xf numFmtId="0" fontId="2" fillId="0" borderId="0"/>
    <xf numFmtId="0" fontId="5" fillId="0" borderId="0"/>
    <xf numFmtId="165" fontId="2" fillId="0" borderId="0" applyFont="0" applyFill="0" applyBorder="0" applyAlignment="0" applyProtection="0"/>
    <xf numFmtId="164" fontId="5" fillId="0" borderId="0" applyFont="0" applyFill="0" applyBorder="0" applyAlignment="0" applyProtection="0"/>
    <xf numFmtId="0" fontId="6" fillId="0" borderId="0"/>
    <xf numFmtId="0" fontId="2" fillId="0" borderId="0"/>
    <xf numFmtId="0" fontId="2" fillId="0" borderId="0"/>
    <xf numFmtId="9" fontId="2" fillId="0" borderId="0" applyFont="0" applyFill="0" applyBorder="0" applyAlignment="0" applyProtection="0"/>
    <xf numFmtId="9" fontId="38" fillId="0" borderId="0" applyFont="0" applyFill="0" applyBorder="0" applyAlignment="0" applyProtection="0"/>
  </cellStyleXfs>
  <cellXfs count="367">
    <xf numFmtId="0" fontId="0" fillId="0" borderId="0" xfId="0"/>
    <xf numFmtId="0" fontId="1" fillId="0" borderId="0" xfId="0" applyFont="1" applyAlignment="1">
      <alignment vertical="center"/>
    </xf>
    <xf numFmtId="0" fontId="0" fillId="0" borderId="13" xfId="0" applyBorder="1"/>
    <xf numFmtId="0" fontId="3" fillId="0" borderId="0" xfId="0" applyFont="1"/>
    <xf numFmtId="0" fontId="0" fillId="0" borderId="0" xfId="0" applyAlignment="1">
      <alignment vertical="center"/>
    </xf>
    <xf numFmtId="0" fontId="7" fillId="0" borderId="0" xfId="0" applyFont="1"/>
    <xf numFmtId="0" fontId="7" fillId="0" borderId="0" xfId="0" applyFont="1" applyAlignment="1">
      <alignment vertical="center"/>
    </xf>
    <xf numFmtId="0" fontId="8" fillId="2" borderId="4" xfId="0" applyFont="1" applyFill="1" applyBorder="1" applyAlignment="1">
      <alignment horizontal="left" vertical="center"/>
    </xf>
    <xf numFmtId="0" fontId="8" fillId="2" borderId="6" xfId="0" applyFont="1" applyFill="1" applyBorder="1" applyAlignment="1">
      <alignment vertical="center"/>
    </xf>
    <xf numFmtId="0" fontId="8" fillId="2" borderId="8" xfId="0" applyFont="1" applyFill="1" applyBorder="1" applyAlignment="1">
      <alignment horizontal="left"/>
    </xf>
    <xf numFmtId="0" fontId="7" fillId="0" borderId="0" xfId="0" applyFont="1" applyAlignment="1">
      <alignment horizontal="left"/>
    </xf>
    <xf numFmtId="0" fontId="7" fillId="0" borderId="18" xfId="0" applyFont="1" applyBorder="1"/>
    <xf numFmtId="0" fontId="7" fillId="0" borderId="19" xfId="0" applyFont="1" applyBorder="1"/>
    <xf numFmtId="0" fontId="7" fillId="0" borderId="12" xfId="0" applyFont="1" applyBorder="1"/>
    <xf numFmtId="0" fontId="10" fillId="0" borderId="12" xfId="0" applyFont="1" applyBorder="1"/>
    <xf numFmtId="0" fontId="7" fillId="0" borderId="14" xfId="0" applyFont="1" applyBorder="1"/>
    <xf numFmtId="0" fontId="7" fillId="0" borderId="15" xfId="0" applyFont="1" applyBorder="1"/>
    <xf numFmtId="0" fontId="7" fillId="0" borderId="16" xfId="0" applyFont="1" applyBorder="1"/>
    <xf numFmtId="0" fontId="11" fillId="0" borderId="0" xfId="0" applyFont="1"/>
    <xf numFmtId="0" fontId="9" fillId="0" borderId="10" xfId="1" quotePrefix="1" applyNumberFormat="1" applyFont="1" applyBorder="1" applyAlignment="1">
      <alignment horizontal="center"/>
    </xf>
    <xf numFmtId="0" fontId="7" fillId="0" borderId="30" xfId="0" applyFont="1" applyBorder="1"/>
    <xf numFmtId="0" fontId="7" fillId="0" borderId="31" xfId="0" applyFont="1" applyBorder="1"/>
    <xf numFmtId="0" fontId="7" fillId="0" borderId="32" xfId="0" applyFont="1" applyBorder="1"/>
    <xf numFmtId="0" fontId="0" fillId="0" borderId="12" xfId="0" applyBorder="1"/>
    <xf numFmtId="0" fontId="0" fillId="0" borderId="14" xfId="0" applyBorder="1"/>
    <xf numFmtId="0" fontId="0" fillId="0" borderId="15" xfId="0" applyBorder="1"/>
    <xf numFmtId="0" fontId="0" fillId="0" borderId="16" xfId="0" applyBorder="1"/>
    <xf numFmtId="0" fontId="2" fillId="0" borderId="0" xfId="0" applyFont="1"/>
    <xf numFmtId="0" fontId="7" fillId="0" borderId="0" xfId="0" applyFont="1" applyAlignment="1">
      <alignment horizontal="center"/>
    </xf>
    <xf numFmtId="0" fontId="7" fillId="0" borderId="13" xfId="0" applyFont="1" applyBorder="1" applyAlignment="1">
      <alignment horizontal="center"/>
    </xf>
    <xf numFmtId="9" fontId="7" fillId="0" borderId="0" xfId="0" applyNumberFormat="1" applyFont="1" applyAlignment="1">
      <alignment horizontal="center"/>
    </xf>
    <xf numFmtId="14" fontId="9" fillId="3" borderId="6" xfId="0" applyNumberFormat="1" applyFont="1" applyFill="1" applyBorder="1" applyAlignment="1">
      <alignment horizontal="center" vertical="center"/>
    </xf>
    <xf numFmtId="14" fontId="9" fillId="3" borderId="10" xfId="0" applyNumberFormat="1" applyFont="1" applyFill="1" applyBorder="1" applyAlignment="1">
      <alignment horizontal="center"/>
    </xf>
    <xf numFmtId="0" fontId="2" fillId="0" borderId="0" xfId="8"/>
    <xf numFmtId="0" fontId="2" fillId="3" borderId="0" xfId="8" applyFill="1" applyAlignment="1">
      <alignment horizontal="center"/>
    </xf>
    <xf numFmtId="0" fontId="15" fillId="3" borderId="0" xfId="8" applyFont="1" applyFill="1" applyAlignment="1">
      <alignment horizontal="center" vertical="center" wrapText="1" readingOrder="1"/>
    </xf>
    <xf numFmtId="0" fontId="2" fillId="3" borderId="0" xfId="8" applyFill="1"/>
    <xf numFmtId="0" fontId="18" fillId="3" borderId="0" xfId="8" applyFont="1" applyFill="1"/>
    <xf numFmtId="0" fontId="14" fillId="3" borderId="0" xfId="8" applyFont="1" applyFill="1"/>
    <xf numFmtId="0" fontId="18" fillId="13" borderId="0" xfId="8" applyFont="1" applyFill="1"/>
    <xf numFmtId="0" fontId="16" fillId="12" borderId="50" xfId="8" applyFont="1" applyFill="1" applyBorder="1" applyAlignment="1">
      <alignment horizontal="center" vertical="center" wrapText="1"/>
    </xf>
    <xf numFmtId="0" fontId="17" fillId="12" borderId="50" xfId="8" applyFont="1" applyFill="1" applyBorder="1" applyAlignment="1">
      <alignment horizontal="center" vertical="center" wrapText="1"/>
    </xf>
    <xf numFmtId="0" fontId="17" fillId="3" borderId="50" xfId="8" applyFont="1" applyFill="1" applyBorder="1" applyAlignment="1">
      <alignment horizontal="center" vertical="center" wrapText="1"/>
    </xf>
    <xf numFmtId="0" fontId="16" fillId="0" borderId="0" xfId="8" applyFont="1" applyAlignment="1">
      <alignment horizontal="center" vertical="center" wrapText="1"/>
    </xf>
    <xf numFmtId="0" fontId="17" fillId="0" borderId="0" xfId="8" applyFont="1" applyAlignment="1">
      <alignment horizontal="center" vertical="center" wrapText="1"/>
    </xf>
    <xf numFmtId="0" fontId="17" fillId="3" borderId="0" xfId="8" applyFont="1" applyFill="1" applyAlignment="1">
      <alignment horizontal="center" vertical="center" wrapText="1"/>
    </xf>
    <xf numFmtId="14" fontId="16" fillId="3" borderId="0" xfId="8" applyNumberFormat="1" applyFont="1" applyFill="1" applyAlignment="1">
      <alignment horizontal="center" vertical="center" wrapText="1"/>
    </xf>
    <xf numFmtId="10" fontId="16" fillId="12" borderId="57" xfId="8" applyNumberFormat="1" applyFont="1" applyFill="1" applyBorder="1" applyAlignment="1">
      <alignment horizontal="center" vertical="center" wrapText="1"/>
    </xf>
    <xf numFmtId="0" fontId="11" fillId="3" borderId="0" xfId="8" applyFont="1" applyFill="1"/>
    <xf numFmtId="0" fontId="11" fillId="0" borderId="0" xfId="8" applyFont="1"/>
    <xf numFmtId="0" fontId="17" fillId="0" borderId="62" xfId="8" applyFont="1" applyBorder="1" applyAlignment="1">
      <alignment horizontal="center" vertical="center" wrapText="1"/>
    </xf>
    <xf numFmtId="0" fontId="17" fillId="0" borderId="63" xfId="8" applyFont="1" applyBorder="1" applyAlignment="1">
      <alignment horizontal="center" vertical="center" wrapText="1"/>
    </xf>
    <xf numFmtId="0" fontId="20" fillId="15" borderId="0" xfId="0" applyFont="1" applyFill="1" applyAlignment="1">
      <alignment horizontal="center" wrapText="1"/>
    </xf>
    <xf numFmtId="0" fontId="23" fillId="0" borderId="0" xfId="0" applyFont="1" applyAlignment="1">
      <alignment horizontal="center" wrapText="1"/>
    </xf>
    <xf numFmtId="0" fontId="21" fillId="3" borderId="29" xfId="0" applyFont="1" applyFill="1" applyBorder="1" applyAlignment="1">
      <alignment horizontal="center" wrapText="1"/>
    </xf>
    <xf numFmtId="0" fontId="22" fillId="3" borderId="29" xfId="0" applyFont="1" applyFill="1" applyBorder="1" applyAlignment="1">
      <alignment horizontal="center" wrapText="1"/>
    </xf>
    <xf numFmtId="0" fontId="2" fillId="16" borderId="29" xfId="0" applyFont="1" applyFill="1" applyBorder="1" applyAlignment="1">
      <alignment vertical="center"/>
    </xf>
    <xf numFmtId="0" fontId="2" fillId="0" borderId="29" xfId="0" applyFont="1" applyBorder="1" applyAlignment="1">
      <alignment vertical="center"/>
    </xf>
    <xf numFmtId="0" fontId="20" fillId="0" borderId="2" xfId="0" applyFont="1" applyBorder="1" applyAlignment="1">
      <alignment horizontal="center" vertical="center" wrapText="1"/>
    </xf>
    <xf numFmtId="0" fontId="26" fillId="4" borderId="12" xfId="2" applyFont="1" applyFill="1" applyBorder="1" applyAlignment="1">
      <alignment horizontal="left" vertical="center" wrapText="1"/>
    </xf>
    <xf numFmtId="0" fontId="27" fillId="3" borderId="0" xfId="2" applyFont="1" applyFill="1" applyAlignment="1">
      <alignment horizontal="center"/>
    </xf>
    <xf numFmtId="0" fontId="27" fillId="3" borderId="0" xfId="2" applyFont="1" applyFill="1"/>
    <xf numFmtId="0" fontId="26" fillId="0" borderId="0" xfId="0" applyFont="1"/>
    <xf numFmtId="1" fontId="26" fillId="4" borderId="0" xfId="3" applyNumberFormat="1" applyFont="1" applyFill="1" applyAlignment="1">
      <alignment horizontal="left" vertical="top"/>
    </xf>
    <xf numFmtId="0" fontId="28" fillId="4" borderId="0" xfId="3" applyFont="1" applyFill="1" applyAlignment="1">
      <alignment horizontal="center" vertical="center"/>
    </xf>
    <xf numFmtId="0" fontId="26" fillId="4" borderId="0" xfId="3" applyFont="1" applyFill="1" applyAlignment="1">
      <alignment horizontal="center" vertical="center"/>
    </xf>
    <xf numFmtId="0" fontId="27" fillId="3" borderId="0" xfId="2" applyFont="1" applyFill="1" applyAlignment="1">
      <alignment horizontal="left" vertical="center" wrapText="1"/>
    </xf>
    <xf numFmtId="0" fontId="29" fillId="3" borderId="0" xfId="2" applyFont="1" applyFill="1" applyAlignment="1">
      <alignment horizontal="center" vertical="center" wrapText="1"/>
    </xf>
    <xf numFmtId="166" fontId="27" fillId="3" borderId="0" xfId="2" applyNumberFormat="1" applyFont="1" applyFill="1" applyAlignment="1">
      <alignment horizontal="center" vertical="center" wrapText="1"/>
    </xf>
    <xf numFmtId="0" fontId="27" fillId="3" borderId="13" xfId="2" applyFont="1" applyFill="1" applyBorder="1" applyAlignment="1">
      <alignment horizontal="center" vertical="center" wrapText="1"/>
    </xf>
    <xf numFmtId="0" fontId="27" fillId="3" borderId="0" xfId="2" applyFont="1" applyFill="1" applyAlignment="1">
      <alignment horizontal="center" vertical="center" wrapText="1"/>
    </xf>
    <xf numFmtId="0" fontId="26" fillId="4" borderId="12" xfId="3" applyFont="1" applyFill="1" applyBorder="1" applyAlignment="1">
      <alignment horizontal="left" vertical="center" wrapText="1"/>
    </xf>
    <xf numFmtId="0" fontId="31" fillId="4" borderId="0" xfId="3" applyFont="1" applyFill="1" applyAlignment="1">
      <alignment horizontal="left" vertical="center" wrapText="1"/>
    </xf>
    <xf numFmtId="0" fontId="32" fillId="4" borderId="0" xfId="3" applyFont="1" applyFill="1" applyAlignment="1">
      <alignment horizontal="left" vertical="center" wrapText="1"/>
    </xf>
    <xf numFmtId="0" fontId="31" fillId="4" borderId="0" xfId="3" applyFont="1" applyFill="1" applyAlignment="1">
      <alignment horizontal="center" vertical="center" wrapText="1"/>
    </xf>
    <xf numFmtId="0" fontId="27" fillId="3" borderId="0" xfId="3" applyFont="1" applyFill="1" applyAlignment="1">
      <alignment horizontal="left" vertical="center" wrapText="1"/>
    </xf>
    <xf numFmtId="0" fontId="29" fillId="3" borderId="0" xfId="3" applyFont="1" applyFill="1" applyAlignment="1">
      <alignment horizontal="left" vertical="center" wrapText="1"/>
    </xf>
    <xf numFmtId="0" fontId="27" fillId="3" borderId="13" xfId="3" applyFont="1" applyFill="1" applyBorder="1" applyAlignment="1">
      <alignment horizontal="center" vertical="center" wrapText="1"/>
    </xf>
    <xf numFmtId="0" fontId="27" fillId="3" borderId="0" xfId="3" applyFont="1" applyFill="1" applyAlignment="1">
      <alignment horizontal="center" vertical="center" wrapText="1"/>
    </xf>
    <xf numFmtId="0" fontId="26" fillId="4" borderId="12" xfId="2" applyFont="1" applyFill="1" applyBorder="1"/>
    <xf numFmtId="0" fontId="26" fillId="4" borderId="0" xfId="2" applyFont="1" applyFill="1"/>
    <xf numFmtId="0" fontId="26" fillId="4" borderId="0" xfId="2" applyFont="1" applyFill="1" applyAlignment="1">
      <alignment horizontal="left"/>
    </xf>
    <xf numFmtId="0" fontId="26" fillId="4" borderId="0" xfId="2" applyFont="1" applyFill="1" applyAlignment="1">
      <alignment horizontal="center"/>
    </xf>
    <xf numFmtId="0" fontId="27" fillId="3" borderId="13" xfId="2" applyFont="1" applyFill="1" applyBorder="1" applyAlignment="1">
      <alignment horizontal="center"/>
    </xf>
    <xf numFmtId="0" fontId="33" fillId="6" borderId="34" xfId="2" applyFont="1" applyFill="1" applyBorder="1" applyAlignment="1">
      <alignment horizontal="center" vertical="center"/>
    </xf>
    <xf numFmtId="0" fontId="33" fillId="6" borderId="35" xfId="2" applyFont="1" applyFill="1" applyBorder="1" applyAlignment="1">
      <alignment horizontal="center" vertical="center"/>
    </xf>
    <xf numFmtId="0" fontId="33" fillId="6" borderId="36" xfId="2" applyFont="1" applyFill="1" applyBorder="1" applyAlignment="1">
      <alignment horizontal="center" vertical="center"/>
    </xf>
    <xf numFmtId="0" fontId="33" fillId="6" borderId="21" xfId="2" applyFont="1" applyFill="1" applyBorder="1" applyAlignment="1">
      <alignment horizontal="center" vertical="center"/>
    </xf>
    <xf numFmtId="166" fontId="34" fillId="3" borderId="29" xfId="2" applyNumberFormat="1" applyFont="1" applyFill="1" applyBorder="1" applyAlignment="1">
      <alignment horizontal="center" vertical="center"/>
    </xf>
    <xf numFmtId="9" fontId="25" fillId="11" borderId="21" xfId="0" applyNumberFormat="1" applyFont="1" applyFill="1" applyBorder="1"/>
    <xf numFmtId="166" fontId="34" fillId="4" borderId="29" xfId="2" applyNumberFormat="1" applyFont="1" applyFill="1" applyBorder="1" applyAlignment="1">
      <alignment horizontal="center" vertical="center"/>
    </xf>
    <xf numFmtId="9" fontId="25" fillId="7" borderId="18" xfId="0" applyNumberFormat="1" applyFont="1" applyFill="1" applyBorder="1"/>
    <xf numFmtId="9" fontId="25" fillId="8" borderId="18" xfId="0" applyNumberFormat="1" applyFont="1" applyFill="1" applyBorder="1"/>
    <xf numFmtId="166" fontId="34" fillId="4" borderId="38" xfId="2" applyNumberFormat="1" applyFont="1" applyFill="1" applyBorder="1" applyAlignment="1">
      <alignment horizontal="center" vertical="center"/>
    </xf>
    <xf numFmtId="0" fontId="31" fillId="4" borderId="0" xfId="2" applyFont="1" applyFill="1" applyAlignment="1">
      <alignment vertical="center"/>
    </xf>
    <xf numFmtId="0" fontId="26" fillId="0" borderId="0" xfId="2" applyFont="1"/>
    <xf numFmtId="0" fontId="31" fillId="4" borderId="0" xfId="2" applyFont="1" applyFill="1" applyAlignment="1">
      <alignment vertical="center" wrapText="1"/>
    </xf>
    <xf numFmtId="0" fontId="26" fillId="0" borderId="13" xfId="0" applyFont="1" applyBorder="1"/>
    <xf numFmtId="0" fontId="25" fillId="5" borderId="0" xfId="2" applyFont="1" applyFill="1" applyAlignment="1">
      <alignment horizontal="center" vertical="center" wrapText="1"/>
    </xf>
    <xf numFmtId="0" fontId="25" fillId="5" borderId="0" xfId="2" applyFont="1" applyFill="1" applyAlignment="1">
      <alignment horizontal="left" vertical="center" wrapText="1"/>
    </xf>
    <xf numFmtId="0" fontId="25" fillId="4" borderId="0" xfId="2" applyFont="1" applyFill="1" applyAlignment="1">
      <alignment horizontal="center" vertical="center" wrapText="1"/>
    </xf>
    <xf numFmtId="3" fontId="26" fillId="3" borderId="0" xfId="4" applyNumberFormat="1" applyFont="1" applyFill="1" applyBorder="1" applyAlignment="1">
      <alignment horizontal="center"/>
    </xf>
    <xf numFmtId="0" fontId="26" fillId="5" borderId="0" xfId="2" applyFont="1" applyFill="1" applyAlignment="1">
      <alignment horizontal="left" vertical="center" wrapText="1"/>
    </xf>
    <xf numFmtId="0" fontId="26" fillId="4" borderId="0" xfId="2" applyFont="1" applyFill="1" applyAlignment="1">
      <alignment horizontal="left" vertical="center" wrapText="1"/>
    </xf>
    <xf numFmtId="0" fontId="25" fillId="4" borderId="0" xfId="2" applyFont="1" applyFill="1"/>
    <xf numFmtId="4" fontId="26" fillId="4" borderId="0" xfId="2" applyNumberFormat="1" applyFont="1" applyFill="1"/>
    <xf numFmtId="17" fontId="26" fillId="4" borderId="0" xfId="2" applyNumberFormat="1" applyFont="1" applyFill="1" applyAlignment="1">
      <alignment horizontal="center"/>
    </xf>
    <xf numFmtId="164" fontId="25" fillId="0" borderId="0" xfId="5" applyFont="1" applyFill="1" applyBorder="1" applyAlignment="1">
      <alignment horizontal="center"/>
    </xf>
    <xf numFmtId="167" fontId="26" fillId="0" borderId="0" xfId="4" applyNumberFormat="1" applyFont="1" applyFill="1" applyBorder="1" applyAlignment="1">
      <alignment horizontal="center"/>
    </xf>
    <xf numFmtId="0" fontId="26" fillId="5" borderId="12" xfId="2" applyFont="1" applyFill="1" applyBorder="1" applyAlignment="1">
      <alignment horizontal="left" vertical="center" wrapText="1"/>
    </xf>
    <xf numFmtId="167" fontId="35" fillId="0" borderId="0" xfId="4" applyNumberFormat="1" applyFont="1" applyFill="1" applyBorder="1" applyAlignment="1">
      <alignment horizontal="center"/>
    </xf>
    <xf numFmtId="0" fontId="25" fillId="6" borderId="34" xfId="2" applyFont="1" applyFill="1" applyBorder="1" applyAlignment="1">
      <alignment horizontal="center" vertical="center" wrapText="1"/>
    </xf>
    <xf numFmtId="0" fontId="25" fillId="6" borderId="35" xfId="2" applyFont="1" applyFill="1" applyBorder="1" applyAlignment="1">
      <alignment horizontal="center" vertical="center" wrapText="1"/>
    </xf>
    <xf numFmtId="0" fontId="26" fillId="3" borderId="21" xfId="2" applyFont="1" applyFill="1" applyBorder="1" applyAlignment="1">
      <alignment horizontal="left" vertical="center" wrapText="1"/>
    </xf>
    <xf numFmtId="0" fontId="26" fillId="3" borderId="29" xfId="2" quotePrefix="1" applyFont="1" applyFill="1" applyBorder="1" applyAlignment="1">
      <alignment horizontal="center" vertical="center" wrapText="1"/>
    </xf>
    <xf numFmtId="0" fontId="26" fillId="3" borderId="37" xfId="2" applyFont="1" applyFill="1" applyBorder="1" applyAlignment="1">
      <alignment horizontal="left" vertical="center" wrapText="1"/>
    </xf>
    <xf numFmtId="0" fontId="26" fillId="3" borderId="38" xfId="2" applyFont="1" applyFill="1" applyBorder="1" applyAlignment="1">
      <alignment horizontal="left" vertical="center" wrapText="1"/>
    </xf>
    <xf numFmtId="0" fontId="26" fillId="0" borderId="0" xfId="2" applyFont="1" applyAlignment="1">
      <alignment horizontal="left" wrapText="1"/>
    </xf>
    <xf numFmtId="0" fontId="26" fillId="4" borderId="13" xfId="2" applyFont="1" applyFill="1" applyBorder="1" applyAlignment="1">
      <alignment horizontal="center"/>
    </xf>
    <xf numFmtId="0" fontId="26" fillId="4" borderId="14" xfId="2" applyFont="1" applyFill="1" applyBorder="1"/>
    <xf numFmtId="0" fontId="25" fillId="4" borderId="15" xfId="2" applyFont="1" applyFill="1" applyBorder="1"/>
    <xf numFmtId="0" fontId="26" fillId="0" borderId="15" xfId="0" applyFont="1" applyBorder="1"/>
    <xf numFmtId="0" fontId="26" fillId="4" borderId="15" xfId="2" applyFont="1" applyFill="1" applyBorder="1"/>
    <xf numFmtId="0" fontId="26" fillId="4" borderId="15" xfId="2" applyFont="1" applyFill="1" applyBorder="1" applyAlignment="1">
      <alignment horizontal="left"/>
    </xf>
    <xf numFmtId="0" fontId="26" fillId="4" borderId="15" xfId="2" applyFont="1" applyFill="1" applyBorder="1" applyAlignment="1">
      <alignment horizontal="center"/>
    </xf>
    <xf numFmtId="0" fontId="26" fillId="0" borderId="15" xfId="2" applyFont="1" applyBorder="1" applyAlignment="1">
      <alignment horizontal="left" wrapText="1"/>
    </xf>
    <xf numFmtId="0" fontId="26" fillId="4" borderId="16" xfId="2" applyFont="1" applyFill="1" applyBorder="1" applyAlignment="1">
      <alignment horizontal="center"/>
    </xf>
    <xf numFmtId="0" fontId="0" fillId="0" borderId="0" xfId="0" applyAlignment="1">
      <alignment horizontal="center"/>
    </xf>
    <xf numFmtId="0" fontId="20" fillId="14" borderId="70" xfId="0" applyFont="1" applyFill="1" applyBorder="1" applyAlignment="1">
      <alignment horizontal="center" wrapText="1"/>
    </xf>
    <xf numFmtId="10" fontId="20" fillId="0" borderId="0" xfId="0" applyNumberFormat="1" applyFont="1" applyAlignment="1">
      <alignment horizontal="center" vertical="center" wrapText="1"/>
    </xf>
    <xf numFmtId="9" fontId="20" fillId="0" borderId="3" xfId="10" applyFont="1" applyBorder="1" applyAlignment="1">
      <alignment horizontal="center" vertical="center" wrapText="1"/>
    </xf>
    <xf numFmtId="0" fontId="0" fillId="0" borderId="29" xfId="0" applyBorder="1"/>
    <xf numFmtId="9" fontId="0" fillId="3" borderId="29" xfId="10" applyFont="1" applyFill="1" applyBorder="1" applyAlignment="1">
      <alignment horizontal="center" vertical="center"/>
    </xf>
    <xf numFmtId="9" fontId="0" fillId="0" borderId="29" xfId="10" applyFont="1" applyBorder="1"/>
    <xf numFmtId="9" fontId="0" fillId="16" borderId="29" xfId="10" applyFont="1" applyFill="1" applyBorder="1" applyAlignment="1">
      <alignment horizontal="center" vertical="center"/>
    </xf>
    <xf numFmtId="9" fontId="0" fillId="3" borderId="0" xfId="10" applyFont="1" applyFill="1" applyBorder="1" applyAlignment="1">
      <alignment horizontal="center" vertical="center"/>
    </xf>
    <xf numFmtId="9" fontId="0" fillId="17" borderId="29" xfId="10" applyFont="1" applyFill="1" applyBorder="1" applyAlignment="1">
      <alignment horizontal="center" vertical="center"/>
    </xf>
    <xf numFmtId="0" fontId="20" fillId="18" borderId="70" xfId="0" applyFont="1" applyFill="1" applyBorder="1" applyAlignment="1">
      <alignment horizontal="center" wrapText="1"/>
    </xf>
    <xf numFmtId="0" fontId="20" fillId="18" borderId="72" xfId="0" applyFont="1" applyFill="1" applyBorder="1" applyAlignment="1">
      <alignment horizontal="center" wrapText="1"/>
    </xf>
    <xf numFmtId="9" fontId="22" fillId="17" borderId="60" xfId="10" applyFont="1" applyFill="1" applyBorder="1" applyAlignment="1">
      <alignment horizontal="center" wrapText="1"/>
    </xf>
    <xf numFmtId="10" fontId="0" fillId="3" borderId="29" xfId="10" applyNumberFormat="1" applyFont="1" applyFill="1" applyBorder="1" applyAlignment="1">
      <alignment horizontal="center" vertical="center"/>
    </xf>
    <xf numFmtId="9" fontId="2" fillId="16" borderId="29" xfId="10" applyFont="1" applyFill="1" applyBorder="1" applyAlignment="1">
      <alignment horizontal="center" vertical="center"/>
    </xf>
    <xf numFmtId="9" fontId="21" fillId="3" borderId="29" xfId="10" applyFont="1" applyFill="1" applyBorder="1" applyAlignment="1">
      <alignment horizontal="center" wrapText="1"/>
    </xf>
    <xf numFmtId="0" fontId="0" fillId="0" borderId="74" xfId="0" applyBorder="1"/>
    <xf numFmtId="0" fontId="39" fillId="0" borderId="0" xfId="0" applyFont="1"/>
    <xf numFmtId="166" fontId="34" fillId="20" borderId="29" xfId="2" applyNumberFormat="1" applyFont="1" applyFill="1" applyBorder="1" applyAlignment="1">
      <alignment horizontal="center" vertical="center"/>
    </xf>
    <xf numFmtId="0" fontId="42" fillId="3" borderId="29" xfId="0" applyFont="1" applyFill="1" applyBorder="1" applyAlignment="1">
      <alignment vertical="center"/>
    </xf>
    <xf numFmtId="9" fontId="0" fillId="16" borderId="0" xfId="10" applyFont="1" applyFill="1" applyBorder="1" applyAlignment="1">
      <alignment horizontal="center" vertical="center"/>
    </xf>
    <xf numFmtId="9" fontId="0" fillId="17" borderId="0" xfId="10" applyFont="1" applyFill="1" applyBorder="1" applyAlignment="1">
      <alignment horizontal="center" vertical="center"/>
    </xf>
    <xf numFmtId="9" fontId="42" fillId="19" borderId="75" xfId="10" applyFont="1" applyFill="1" applyBorder="1" applyAlignment="1">
      <alignment horizontal="right" vertical="center"/>
    </xf>
    <xf numFmtId="9" fontId="42" fillId="0" borderId="75" xfId="10" applyFont="1" applyBorder="1" applyAlignment="1">
      <alignment horizontal="right" vertical="center"/>
    </xf>
    <xf numFmtId="9" fontId="42" fillId="0" borderId="76" xfId="10" applyFont="1" applyBorder="1" applyAlignment="1">
      <alignment horizontal="right" vertical="center"/>
    </xf>
    <xf numFmtId="9" fontId="42" fillId="19" borderId="76" xfId="10" applyFont="1" applyFill="1" applyBorder="1" applyAlignment="1">
      <alignment horizontal="right" vertical="center"/>
    </xf>
    <xf numFmtId="0" fontId="44" fillId="0" borderId="0" xfId="0" applyFont="1" applyAlignment="1">
      <alignment vertical="center"/>
    </xf>
    <xf numFmtId="9" fontId="0" fillId="16" borderId="74" xfId="10" applyFont="1" applyFill="1" applyBorder="1" applyAlignment="1">
      <alignment horizontal="center" vertical="center"/>
    </xf>
    <xf numFmtId="9" fontId="0" fillId="3" borderId="74" xfId="10" applyFont="1" applyFill="1" applyBorder="1" applyAlignment="1">
      <alignment horizontal="center" vertical="center"/>
    </xf>
    <xf numFmtId="9" fontId="42" fillId="3" borderId="74" xfId="10" applyFont="1" applyFill="1" applyBorder="1" applyAlignment="1">
      <alignment horizontal="right" vertical="center"/>
    </xf>
    <xf numFmtId="9" fontId="42" fillId="3" borderId="29" xfId="10" applyFont="1" applyFill="1" applyBorder="1" applyAlignment="1">
      <alignment horizontal="center" vertical="center"/>
    </xf>
    <xf numFmtId="9" fontId="0" fillId="21" borderId="74" xfId="10" applyFont="1" applyFill="1" applyBorder="1" applyAlignment="1">
      <alignment horizontal="center" vertical="center"/>
    </xf>
    <xf numFmtId="9" fontId="0" fillId="20" borderId="74" xfId="10" applyFont="1" applyFill="1" applyBorder="1" applyAlignment="1">
      <alignment horizontal="center" vertical="center"/>
    </xf>
    <xf numFmtId="9" fontId="42" fillId="20" borderId="29" xfId="10" applyFont="1" applyFill="1" applyBorder="1" applyAlignment="1">
      <alignment horizontal="center" vertical="center"/>
    </xf>
    <xf numFmtId="9" fontId="42" fillId="20" borderId="74" xfId="10" applyFont="1" applyFill="1" applyBorder="1" applyAlignment="1">
      <alignment horizontal="right" vertical="center"/>
    </xf>
    <xf numFmtId="9" fontId="42" fillId="3" borderId="74" xfId="10" applyFont="1" applyFill="1" applyBorder="1" applyAlignment="1">
      <alignment horizontal="center" vertical="center"/>
    </xf>
    <xf numFmtId="9" fontId="42" fillId="22" borderId="29" xfId="10" applyFont="1" applyFill="1" applyBorder="1" applyAlignment="1">
      <alignment horizontal="center" vertical="center"/>
    </xf>
    <xf numFmtId="9" fontId="42" fillId="22" borderId="74" xfId="10" applyFont="1" applyFill="1" applyBorder="1" applyAlignment="1">
      <alignment horizontal="right" vertical="center"/>
    </xf>
    <xf numFmtId="10" fontId="0" fillId="0" borderId="29" xfId="0" applyNumberFormat="1" applyBorder="1"/>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15" xfId="0" applyFont="1" applyFill="1" applyBorder="1" applyAlignment="1">
      <alignment horizontal="center" vertical="center"/>
    </xf>
    <xf numFmtId="9" fontId="25" fillId="11" borderId="18" xfId="0" applyNumberFormat="1" applyFont="1" applyFill="1" applyBorder="1" applyAlignment="1">
      <alignment horizontal="center"/>
    </xf>
    <xf numFmtId="9" fontId="25" fillId="11" borderId="19" xfId="0" applyNumberFormat="1" applyFont="1" applyFill="1" applyBorder="1" applyAlignment="1">
      <alignment horizontal="center"/>
    </xf>
    <xf numFmtId="9" fontId="25" fillId="11" borderId="61" xfId="0" applyNumberFormat="1" applyFont="1" applyFill="1" applyBorder="1" applyAlignment="1">
      <alignment horizontal="center"/>
    </xf>
    <xf numFmtId="9" fontId="25" fillId="7" borderId="18" xfId="0" applyNumberFormat="1" applyFont="1" applyFill="1" applyBorder="1" applyAlignment="1">
      <alignment horizontal="center"/>
    </xf>
    <xf numFmtId="9" fontId="25" fillId="7" borderId="19" xfId="0" applyNumberFormat="1" applyFont="1" applyFill="1" applyBorder="1" applyAlignment="1">
      <alignment horizontal="center"/>
    </xf>
    <xf numFmtId="9" fontId="25" fillId="8" borderId="18" xfId="0" applyNumberFormat="1" applyFont="1" applyFill="1" applyBorder="1" applyAlignment="1">
      <alignment horizontal="center"/>
    </xf>
    <xf numFmtId="9" fontId="25" fillId="8" borderId="19" xfId="0" applyNumberFormat="1" applyFont="1" applyFill="1" applyBorder="1" applyAlignment="1">
      <alignment horizontal="center"/>
    </xf>
    <xf numFmtId="0" fontId="10" fillId="0" borderId="12" xfId="0" applyFont="1" applyBorder="1" applyAlignment="1">
      <alignment horizontal="left" vertical="top"/>
    </xf>
    <xf numFmtId="0" fontId="10" fillId="0" borderId="0" xfId="0" applyFont="1" applyAlignment="1">
      <alignment horizontal="left" vertical="top"/>
    </xf>
    <xf numFmtId="0" fontId="7" fillId="0" borderId="0" xfId="0" applyFont="1" applyAlignment="1">
      <alignment horizontal="left" vertical="top" wrapText="1"/>
    </xf>
    <xf numFmtId="0" fontId="7" fillId="0" borderId="13" xfId="0" applyFont="1" applyBorder="1" applyAlignment="1">
      <alignment horizontal="left" vertical="top" wrapText="1"/>
    </xf>
    <xf numFmtId="0" fontId="8" fillId="2" borderId="1" xfId="0" applyFont="1" applyFill="1" applyBorder="1" applyAlignment="1">
      <alignment horizontal="left" vertical="center"/>
    </xf>
    <xf numFmtId="0" fontId="8" fillId="2" borderId="2" xfId="0" applyFont="1" applyFill="1" applyBorder="1" applyAlignment="1">
      <alignment horizontal="left" vertical="center"/>
    </xf>
    <xf numFmtId="0" fontId="8" fillId="2" borderId="3" xfId="0" applyFont="1" applyFill="1" applyBorder="1" applyAlignment="1">
      <alignment horizontal="left" vertical="center"/>
    </xf>
    <xf numFmtId="0" fontId="7" fillId="0" borderId="0" xfId="0" applyFont="1" applyAlignment="1">
      <alignment vertical="justify"/>
    </xf>
    <xf numFmtId="0" fontId="7" fillId="0" borderId="13" xfId="0" applyFont="1" applyBorder="1" applyAlignment="1">
      <alignment vertical="justify"/>
    </xf>
    <xf numFmtId="0" fontId="7" fillId="0" borderId="0" xfId="0" applyFont="1" applyAlignment="1">
      <alignment horizontal="left"/>
    </xf>
    <xf numFmtId="0" fontId="7" fillId="0" borderId="13" xfId="0" applyFont="1" applyBorder="1" applyAlignment="1">
      <alignment horizontal="left"/>
    </xf>
    <xf numFmtId="0" fontId="10" fillId="0" borderId="12" xfId="0" applyFont="1" applyBorder="1" applyAlignment="1">
      <alignment horizontal="left"/>
    </xf>
    <xf numFmtId="0" fontId="10" fillId="0" borderId="0" xfId="0" applyFont="1" applyAlignment="1">
      <alignment horizontal="left"/>
    </xf>
    <xf numFmtId="0" fontId="7" fillId="0" borderId="0" xfId="0" applyFont="1" applyAlignment="1">
      <alignment horizontal="left" wrapText="1"/>
    </xf>
    <xf numFmtId="0" fontId="7" fillId="0" borderId="13" xfId="0" applyFont="1" applyBorder="1" applyAlignment="1">
      <alignment horizontal="left" wrapText="1"/>
    </xf>
    <xf numFmtId="0" fontId="7" fillId="0" borderId="0" xfId="0" applyFont="1" applyAlignment="1">
      <alignment horizontal="left" vertical="center" wrapText="1"/>
    </xf>
    <xf numFmtId="0" fontId="7" fillId="0" borderId="13"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9" fillId="3" borderId="12"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13" xfId="0" applyFont="1" applyFill="1" applyBorder="1" applyAlignment="1">
      <alignment horizontal="left" vertical="center" wrapText="1"/>
    </xf>
    <xf numFmtId="0" fontId="9" fillId="0" borderId="29" xfId="0" applyFont="1" applyBorder="1" applyAlignment="1">
      <alignment horizontal="left" wrapText="1"/>
    </xf>
    <xf numFmtId="0" fontId="9" fillId="0" borderId="33" xfId="0" applyFont="1" applyBorder="1" applyAlignment="1">
      <alignment horizontal="left" wrapText="1"/>
    </xf>
    <xf numFmtId="0" fontId="40" fillId="3" borderId="1" xfId="0" applyFont="1" applyFill="1" applyBorder="1" applyAlignment="1">
      <alignment horizontal="center" vertical="center"/>
    </xf>
    <xf numFmtId="0" fontId="40" fillId="3" borderId="2" xfId="0" applyFont="1" applyFill="1" applyBorder="1" applyAlignment="1">
      <alignment horizontal="center" vertical="center"/>
    </xf>
    <xf numFmtId="0" fontId="40" fillId="3" borderId="3" xfId="0" applyFont="1" applyFill="1" applyBorder="1" applyAlignment="1">
      <alignment horizontal="center" vertical="center"/>
    </xf>
    <xf numFmtId="0" fontId="8" fillId="2" borderId="7" xfId="0" applyFont="1" applyFill="1" applyBorder="1" applyAlignment="1">
      <alignment horizontal="left" vertical="center"/>
    </xf>
    <xf numFmtId="0" fontId="8" fillId="2" borderId="5" xfId="0" applyFont="1" applyFill="1" applyBorder="1" applyAlignment="1">
      <alignment horizontal="left" vertical="center"/>
    </xf>
    <xf numFmtId="0" fontId="8" fillId="2" borderId="11" xfId="0" applyFont="1" applyFill="1" applyBorder="1" applyAlignment="1">
      <alignment horizontal="left"/>
    </xf>
    <xf numFmtId="0" fontId="8" fillId="2" borderId="9" xfId="0" applyFont="1" applyFill="1" applyBorder="1" applyAlignment="1">
      <alignment horizontal="left"/>
    </xf>
    <xf numFmtId="0" fontId="8" fillId="2" borderId="10" xfId="0" applyFont="1" applyFill="1" applyBorder="1" applyAlignment="1">
      <alignment horizontal="left"/>
    </xf>
    <xf numFmtId="0" fontId="9" fillId="0" borderId="23" xfId="0" applyFont="1" applyBorder="1" applyAlignment="1">
      <alignment horizontal="center" vertical="center"/>
    </xf>
    <xf numFmtId="0" fontId="9" fillId="0" borderId="6" xfId="0" applyFont="1" applyBorder="1" applyAlignment="1">
      <alignment horizontal="center" vertical="center"/>
    </xf>
    <xf numFmtId="0" fontId="9" fillId="0" borderId="24" xfId="0" applyFont="1" applyBorder="1" applyAlignment="1">
      <alignment horizontal="center"/>
    </xf>
    <xf numFmtId="0" fontId="9" fillId="0" borderId="10" xfId="0" applyFont="1" applyBorder="1" applyAlignment="1">
      <alignment horizontal="center"/>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9" fillId="0" borderId="11" xfId="0" applyFont="1" applyBorder="1" applyAlignment="1">
      <alignment horizontal="left"/>
    </xf>
    <xf numFmtId="0" fontId="9" fillId="0" borderId="10" xfId="0" applyFont="1" applyBorder="1" applyAlignment="1">
      <alignment horizontal="left"/>
    </xf>
    <xf numFmtId="0" fontId="7" fillId="0" borderId="12" xfId="0" applyFont="1" applyBorder="1" applyAlignment="1">
      <alignment horizontal="center" vertical="center"/>
    </xf>
    <xf numFmtId="0" fontId="7" fillId="0" borderId="0" xfId="0" applyFont="1" applyAlignment="1">
      <alignment horizontal="center" vertical="center"/>
    </xf>
    <xf numFmtId="0" fontId="7" fillId="0" borderId="27" xfId="0" applyFont="1" applyBorder="1" applyAlignment="1">
      <alignment horizontal="center" vertical="center"/>
    </xf>
    <xf numFmtId="0" fontId="7" fillId="0" borderId="21" xfId="0" applyFont="1" applyBorder="1" applyAlignment="1">
      <alignment horizontal="center"/>
    </xf>
    <xf numFmtId="0" fontId="7" fillId="0" borderId="29" xfId="0" applyFont="1" applyBorder="1" applyAlignment="1">
      <alignment horizontal="center"/>
    </xf>
    <xf numFmtId="0" fontId="8" fillId="2" borderId="6" xfId="0" applyFont="1" applyFill="1" applyBorder="1" applyAlignment="1">
      <alignment horizontal="left" vertical="center"/>
    </xf>
    <xf numFmtId="9" fontId="7" fillId="0" borderId="19" xfId="0" applyNumberFormat="1" applyFont="1" applyBorder="1" applyAlignment="1">
      <alignment horizontal="center"/>
    </xf>
    <xf numFmtId="0" fontId="7" fillId="0" borderId="19" xfId="0" applyFont="1" applyBorder="1" applyAlignment="1">
      <alignment horizontal="center"/>
    </xf>
    <xf numFmtId="0" fontId="7" fillId="0" borderId="20" xfId="0" applyFont="1" applyBorder="1" applyAlignment="1">
      <alignment horizontal="center"/>
    </xf>
    <xf numFmtId="0" fontId="7" fillId="9" borderId="43" xfId="0" applyFont="1" applyFill="1" applyBorder="1" applyAlignment="1">
      <alignment horizontal="center" vertical="center" wrapText="1"/>
    </xf>
    <xf numFmtId="0" fontId="7" fillId="9" borderId="44" xfId="0" applyFont="1" applyFill="1" applyBorder="1" applyAlignment="1">
      <alignment horizontal="center" vertical="center" wrapText="1"/>
    </xf>
    <xf numFmtId="0" fontId="7" fillId="9" borderId="42" xfId="0" applyFont="1" applyFill="1" applyBorder="1" applyAlignment="1">
      <alignment horizontal="center" vertical="center" wrapText="1"/>
    </xf>
    <xf numFmtId="0" fontId="7" fillId="9" borderId="17" xfId="0" applyFont="1" applyFill="1" applyBorder="1" applyAlignment="1">
      <alignment horizontal="center" vertical="center" wrapText="1"/>
    </xf>
    <xf numFmtId="0" fontId="19" fillId="3" borderId="30" xfId="0" applyFont="1" applyFill="1" applyBorder="1" applyAlignment="1">
      <alignment horizontal="center" vertical="center" wrapText="1"/>
    </xf>
    <xf numFmtId="0" fontId="19" fillId="3" borderId="64"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19" fillId="3" borderId="27"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65" xfId="0" applyFont="1" applyFill="1" applyBorder="1" applyAlignment="1">
      <alignment horizontal="center" vertical="center" wrapText="1"/>
    </xf>
    <xf numFmtId="0" fontId="7" fillId="10" borderId="25" xfId="0" applyFont="1" applyFill="1" applyBorder="1" applyAlignment="1">
      <alignment horizontal="center" vertical="center" wrapText="1"/>
    </xf>
    <xf numFmtId="0" fontId="7" fillId="10" borderId="46" xfId="0" applyFont="1" applyFill="1" applyBorder="1" applyAlignment="1">
      <alignment horizontal="center" vertical="center" wrapText="1"/>
    </xf>
    <xf numFmtId="0" fontId="7" fillId="10" borderId="22" xfId="0" applyFont="1" applyFill="1" applyBorder="1" applyAlignment="1">
      <alignment horizontal="center" vertical="center" wrapText="1"/>
    </xf>
    <xf numFmtId="0" fontId="7" fillId="10" borderId="27" xfId="0" applyFont="1" applyFill="1" applyBorder="1" applyAlignment="1">
      <alignment horizontal="center" vertical="center" wrapText="1"/>
    </xf>
    <xf numFmtId="0" fontId="7" fillId="10" borderId="42" xfId="0" applyFont="1" applyFill="1" applyBorder="1" applyAlignment="1">
      <alignment horizontal="center" vertical="center" wrapText="1"/>
    </xf>
    <xf numFmtId="0" fontId="7" fillId="10" borderId="45" xfId="0" applyFont="1" applyFill="1" applyBorder="1" applyAlignment="1">
      <alignment horizontal="center" vertical="center" wrapText="1"/>
    </xf>
    <xf numFmtId="0" fontId="7" fillId="0" borderId="25" xfId="0" applyFont="1" applyBorder="1" applyAlignment="1">
      <alignment horizontal="center"/>
    </xf>
    <xf numFmtId="0" fontId="7" fillId="0" borderId="26" xfId="0" applyFont="1" applyBorder="1" applyAlignment="1">
      <alignment horizontal="center"/>
    </xf>
    <xf numFmtId="0" fontId="7" fillId="0" borderId="28" xfId="0" applyFont="1" applyBorder="1" applyAlignment="1">
      <alignment horizontal="center"/>
    </xf>
    <xf numFmtId="0" fontId="7" fillId="0" borderId="22" xfId="0" applyFont="1" applyBorder="1" applyAlignment="1">
      <alignment horizontal="center"/>
    </xf>
    <xf numFmtId="0" fontId="7" fillId="0" borderId="0" xfId="0" applyFont="1" applyAlignment="1">
      <alignment horizontal="center"/>
    </xf>
    <xf numFmtId="0" fontId="7" fillId="0" borderId="13" xfId="0" applyFont="1" applyBorder="1" applyAlignment="1">
      <alignment horizontal="center"/>
    </xf>
    <xf numFmtId="0" fontId="7" fillId="10" borderId="40" xfId="0" applyFont="1" applyFill="1" applyBorder="1" applyAlignment="1">
      <alignment horizontal="center" vertical="center" wrapText="1"/>
    </xf>
    <xf numFmtId="0" fontId="7" fillId="10" borderId="41" xfId="0" applyFont="1" applyFill="1" applyBorder="1" applyAlignment="1">
      <alignment horizontal="center" vertical="center" wrapText="1"/>
    </xf>
    <xf numFmtId="0" fontId="7" fillId="0" borderId="7" xfId="0" applyFont="1" applyBorder="1" applyAlignment="1">
      <alignment horizontal="left"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26" fillId="4" borderId="30" xfId="2" applyFont="1" applyFill="1" applyBorder="1" applyAlignment="1">
      <alignment horizontal="left" vertical="center" wrapText="1"/>
    </xf>
    <xf numFmtId="0" fontId="26" fillId="4" borderId="31" xfId="2" applyFont="1" applyFill="1" applyBorder="1" applyAlignment="1">
      <alignment horizontal="left" vertical="center"/>
    </xf>
    <xf numFmtId="0" fontId="26" fillId="4" borderId="32" xfId="2" applyFont="1" applyFill="1" applyBorder="1" applyAlignment="1">
      <alignment horizontal="left" vertical="center"/>
    </xf>
    <xf numFmtId="0" fontId="26" fillId="4" borderId="12" xfId="2" applyFont="1" applyFill="1" applyBorder="1" applyAlignment="1">
      <alignment horizontal="left" vertical="center"/>
    </xf>
    <xf numFmtId="0" fontId="26" fillId="4" borderId="0" xfId="2" applyFont="1" applyFill="1" applyAlignment="1">
      <alignment horizontal="left" vertical="center"/>
    </xf>
    <xf numFmtId="0" fontId="26" fillId="4" borderId="13" xfId="2" applyFont="1" applyFill="1" applyBorder="1" applyAlignment="1">
      <alignment horizontal="left" vertical="center"/>
    </xf>
    <xf numFmtId="0" fontId="26" fillId="4" borderId="14" xfId="2" applyFont="1" applyFill="1" applyBorder="1" applyAlignment="1">
      <alignment horizontal="left" vertical="center"/>
    </xf>
    <xf numFmtId="0" fontId="26" fillId="4" borderId="15" xfId="2" applyFont="1" applyFill="1" applyBorder="1" applyAlignment="1">
      <alignment horizontal="left" vertical="center"/>
    </xf>
    <xf numFmtId="0" fontId="26" fillId="4" borderId="16" xfId="2" applyFont="1" applyFill="1" applyBorder="1" applyAlignment="1">
      <alignment horizontal="left" vertical="center"/>
    </xf>
    <xf numFmtId="0" fontId="26" fillId="3" borderId="29" xfId="2" quotePrefix="1" applyFont="1" applyFill="1" applyBorder="1" applyAlignment="1">
      <alignment horizontal="center" vertical="center" wrapText="1"/>
    </xf>
    <xf numFmtId="0" fontId="26" fillId="3" borderId="29" xfId="2" applyFont="1" applyFill="1" applyBorder="1" applyAlignment="1">
      <alignment horizontal="center" vertical="center" wrapText="1"/>
    </xf>
    <xf numFmtId="167" fontId="26" fillId="3" borderId="29" xfId="4" quotePrefix="1" applyNumberFormat="1" applyFont="1" applyFill="1" applyBorder="1" applyAlignment="1">
      <alignment horizontal="center" vertical="center"/>
    </xf>
    <xf numFmtId="167" fontId="26" fillId="3" borderId="29" xfId="4" applyNumberFormat="1" applyFont="1" applyFill="1" applyBorder="1" applyAlignment="1">
      <alignment horizontal="center" vertical="center"/>
    </xf>
    <xf numFmtId="167" fontId="26" fillId="3" borderId="29" xfId="4" quotePrefix="1" applyNumberFormat="1" applyFont="1" applyFill="1" applyBorder="1" applyAlignment="1">
      <alignment horizontal="center" wrapText="1"/>
    </xf>
    <xf numFmtId="167" fontId="26" fillId="3" borderId="33" xfId="4" applyNumberFormat="1" applyFont="1" applyFill="1" applyBorder="1" applyAlignment="1">
      <alignment horizontal="center" wrapText="1"/>
    </xf>
    <xf numFmtId="0" fontId="26" fillId="3" borderId="29" xfId="2" quotePrefix="1" applyFont="1" applyFill="1" applyBorder="1" applyAlignment="1">
      <alignment horizontal="left" vertical="center" wrapText="1"/>
    </xf>
    <xf numFmtId="0" fontId="26" fillId="3" borderId="29" xfId="2" applyFont="1" applyFill="1" applyBorder="1" applyAlignment="1">
      <alignment horizontal="left" vertical="center" wrapText="1"/>
    </xf>
    <xf numFmtId="0" fontId="25" fillId="3" borderId="0" xfId="2" applyFont="1" applyFill="1" applyAlignment="1">
      <alignment horizontal="center" vertical="center" wrapText="1"/>
    </xf>
    <xf numFmtId="166" fontId="45" fillId="11" borderId="47" xfId="2" applyNumberFormat="1" applyFont="1" applyFill="1" applyBorder="1" applyAlignment="1">
      <alignment horizontal="center" vertical="center"/>
    </xf>
    <xf numFmtId="166" fontId="45" fillId="11" borderId="48" xfId="2" applyNumberFormat="1" applyFont="1" applyFill="1" applyBorder="1" applyAlignment="1">
      <alignment horizontal="center" vertical="center"/>
    </xf>
    <xf numFmtId="166" fontId="45" fillId="11" borderId="49" xfId="2" applyNumberFormat="1" applyFont="1" applyFill="1" applyBorder="1" applyAlignment="1">
      <alignment horizontal="center" vertical="center"/>
    </xf>
    <xf numFmtId="0" fontId="26" fillId="3" borderId="38" xfId="2" applyFont="1" applyFill="1" applyBorder="1" applyAlignment="1">
      <alignment horizontal="center" vertical="center" wrapText="1"/>
    </xf>
    <xf numFmtId="167" fontId="26" fillId="3" borderId="38" xfId="4" applyNumberFormat="1" applyFont="1" applyFill="1" applyBorder="1" applyAlignment="1">
      <alignment horizontal="center" vertical="center"/>
    </xf>
    <xf numFmtId="167" fontId="26" fillId="3" borderId="38" xfId="4" applyNumberFormat="1" applyFont="1" applyFill="1" applyBorder="1" applyAlignment="1">
      <alignment horizontal="center" wrapText="1"/>
    </xf>
    <xf numFmtId="167" fontId="26" fillId="3" borderId="39" xfId="4" applyNumberFormat="1" applyFont="1" applyFill="1" applyBorder="1" applyAlignment="1">
      <alignment horizontal="center" wrapText="1"/>
    </xf>
    <xf numFmtId="0" fontId="26" fillId="3" borderId="29" xfId="2" quotePrefix="1" applyFont="1" applyFill="1" applyBorder="1" applyAlignment="1">
      <alignment vertical="justify" wrapText="1"/>
    </xf>
    <xf numFmtId="0" fontId="26" fillId="3" borderId="29" xfId="2" applyFont="1" applyFill="1" applyBorder="1" applyAlignment="1">
      <alignment vertical="justify" wrapText="1"/>
    </xf>
    <xf numFmtId="167" fontId="26" fillId="3" borderId="29" xfId="4" quotePrefix="1" applyNumberFormat="1" applyFont="1" applyFill="1" applyBorder="1" applyAlignment="1">
      <alignment horizontal="center" vertical="center" wrapText="1"/>
    </xf>
    <xf numFmtId="0" fontId="25" fillId="6" borderId="1" xfId="3" applyFont="1" applyFill="1" applyBorder="1" applyAlignment="1">
      <alignment horizontal="left" vertical="center" wrapText="1"/>
    </xf>
    <xf numFmtId="0" fontId="25" fillId="6" borderId="2" xfId="3" applyFont="1" applyFill="1" applyBorder="1" applyAlignment="1">
      <alignment horizontal="left" vertical="center" wrapText="1"/>
    </xf>
    <xf numFmtId="0" fontId="25" fillId="6" borderId="3" xfId="3" applyFont="1" applyFill="1" applyBorder="1" applyAlignment="1">
      <alignment horizontal="left" vertical="center" wrapText="1"/>
    </xf>
    <xf numFmtId="0" fontId="25" fillId="6" borderId="35" xfId="2" applyFont="1" applyFill="1" applyBorder="1" applyAlignment="1">
      <alignment horizontal="center" vertical="center" wrapText="1"/>
    </xf>
    <xf numFmtId="167" fontId="25" fillId="6" borderId="35" xfId="4" applyNumberFormat="1" applyFont="1" applyFill="1" applyBorder="1" applyAlignment="1">
      <alignment horizontal="center" vertical="center"/>
    </xf>
    <xf numFmtId="167" fontId="25" fillId="6" borderId="35" xfId="4" applyNumberFormat="1" applyFont="1" applyFill="1" applyBorder="1" applyAlignment="1">
      <alignment horizontal="center" wrapText="1"/>
    </xf>
    <xf numFmtId="167" fontId="25" fillId="6" borderId="36" xfId="4" applyNumberFormat="1" applyFont="1" applyFill="1" applyBorder="1" applyAlignment="1">
      <alignment horizontal="center" wrapText="1"/>
    </xf>
    <xf numFmtId="1" fontId="26" fillId="4" borderId="38" xfId="3" applyNumberFormat="1" applyFont="1" applyFill="1" applyBorder="1" applyAlignment="1">
      <alignment horizontal="left" vertical="center"/>
    </xf>
    <xf numFmtId="1" fontId="30" fillId="4" borderId="38" xfId="3" applyNumberFormat="1" applyFont="1" applyFill="1" applyBorder="1" applyAlignment="1">
      <alignment horizontal="center" vertical="center" wrapText="1"/>
    </xf>
    <xf numFmtId="1" fontId="30" fillId="4" borderId="39" xfId="3" applyNumberFormat="1" applyFont="1" applyFill="1" applyBorder="1" applyAlignment="1">
      <alignment horizontal="center" vertical="center" wrapText="1"/>
    </xf>
    <xf numFmtId="1" fontId="25" fillId="6" borderId="38" xfId="3" applyNumberFormat="1" applyFont="1" applyFill="1" applyBorder="1" applyAlignment="1">
      <alignment horizontal="left" vertical="center"/>
    </xf>
    <xf numFmtId="0" fontId="26" fillId="0" borderId="0" xfId="2" applyFont="1" applyAlignment="1">
      <alignment horizontal="left" wrapText="1"/>
    </xf>
    <xf numFmtId="0" fontId="41" fillId="3" borderId="1" xfId="2" applyFont="1" applyFill="1" applyBorder="1" applyAlignment="1">
      <alignment horizontal="center" vertical="center"/>
    </xf>
    <xf numFmtId="0" fontId="41" fillId="3" borderId="2" xfId="2" applyFont="1" applyFill="1" applyBorder="1" applyAlignment="1">
      <alignment horizontal="center" vertical="center"/>
    </xf>
    <xf numFmtId="0" fontId="41" fillId="3" borderId="3" xfId="2" applyFont="1" applyFill="1" applyBorder="1" applyAlignment="1">
      <alignment horizontal="center" vertical="center"/>
    </xf>
    <xf numFmtId="1" fontId="25" fillId="6" borderId="34" xfId="3" applyNumberFormat="1" applyFont="1" applyFill="1" applyBorder="1" applyAlignment="1">
      <alignment horizontal="left" vertical="center"/>
    </xf>
    <xf numFmtId="1" fontId="25" fillId="6" borderId="35" xfId="3" applyNumberFormat="1" applyFont="1" applyFill="1" applyBorder="1" applyAlignment="1">
      <alignment horizontal="left" vertical="center"/>
    </xf>
    <xf numFmtId="1" fontId="25" fillId="6" borderId="21" xfId="3" applyNumberFormat="1" applyFont="1" applyFill="1" applyBorder="1" applyAlignment="1">
      <alignment horizontal="left" vertical="center"/>
    </xf>
    <xf numFmtId="1" fontId="25" fillId="6" borderId="29" xfId="3" applyNumberFormat="1" applyFont="1" applyFill="1" applyBorder="1" applyAlignment="1">
      <alignment horizontal="left" vertical="center"/>
    </xf>
    <xf numFmtId="1" fontId="25" fillId="6" borderId="37" xfId="3" applyNumberFormat="1" applyFont="1" applyFill="1" applyBorder="1" applyAlignment="1">
      <alignment horizontal="left" vertical="center"/>
    </xf>
    <xf numFmtId="1" fontId="26" fillId="4" borderId="35" xfId="3" applyNumberFormat="1" applyFont="1" applyFill="1" applyBorder="1" applyAlignment="1">
      <alignment horizontal="left" vertical="center" wrapText="1"/>
    </xf>
    <xf numFmtId="1" fontId="26" fillId="4" borderId="36" xfId="3" applyNumberFormat="1" applyFont="1" applyFill="1" applyBorder="1" applyAlignment="1">
      <alignment horizontal="left" vertical="center" wrapText="1"/>
    </xf>
    <xf numFmtId="1" fontId="26" fillId="4" borderId="29" xfId="3" applyNumberFormat="1" applyFont="1" applyFill="1" applyBorder="1" applyAlignment="1">
      <alignment vertical="center"/>
    </xf>
    <xf numFmtId="1" fontId="26" fillId="4" borderId="33" xfId="3" applyNumberFormat="1" applyFont="1" applyFill="1" applyBorder="1" applyAlignment="1">
      <alignment vertical="center"/>
    </xf>
    <xf numFmtId="1" fontId="26" fillId="4" borderId="29" xfId="3" applyNumberFormat="1" applyFont="1" applyFill="1" applyBorder="1" applyAlignment="1">
      <alignment horizontal="left" vertical="center" wrapText="1"/>
    </xf>
    <xf numFmtId="1" fontId="26" fillId="4" borderId="33" xfId="3" applyNumberFormat="1" applyFont="1" applyFill="1" applyBorder="1" applyAlignment="1">
      <alignment horizontal="left" vertical="center" wrapText="1"/>
    </xf>
    <xf numFmtId="1" fontId="26" fillId="4" borderId="29" xfId="3" applyNumberFormat="1" applyFont="1" applyFill="1" applyBorder="1" applyAlignment="1">
      <alignment horizontal="left" vertical="center"/>
    </xf>
    <xf numFmtId="1" fontId="26" fillId="4" borderId="33" xfId="3" applyNumberFormat="1" applyFont="1" applyFill="1" applyBorder="1" applyAlignment="1">
      <alignment horizontal="left" vertical="center"/>
    </xf>
    <xf numFmtId="14" fontId="16" fillId="12" borderId="50" xfId="8" applyNumberFormat="1" applyFont="1" applyFill="1" applyBorder="1" applyAlignment="1">
      <alignment horizontal="center" vertical="center" wrapText="1"/>
    </xf>
    <xf numFmtId="0" fontId="11" fillId="0" borderId="60" xfId="8" applyFont="1" applyBorder="1" applyAlignment="1">
      <alignment horizontal="left" vertical="center"/>
    </xf>
    <xf numFmtId="0" fontId="11" fillId="0" borderId="19" xfId="8" applyFont="1" applyBorder="1" applyAlignment="1">
      <alignment horizontal="left" vertical="center"/>
    </xf>
    <xf numFmtId="0" fontId="11" fillId="0" borderId="61" xfId="8" applyFont="1" applyBorder="1" applyAlignment="1">
      <alignment horizontal="left" vertical="center"/>
    </xf>
    <xf numFmtId="0" fontId="17" fillId="0" borderId="50" xfId="8" applyFont="1" applyBorder="1" applyAlignment="1">
      <alignment horizontal="center" vertical="center" wrapText="1"/>
    </xf>
    <xf numFmtId="10" fontId="17" fillId="0" borderId="54" xfId="8" applyNumberFormat="1" applyFont="1" applyBorder="1" applyAlignment="1">
      <alignment horizontal="center" vertical="center" wrapText="1"/>
    </xf>
    <xf numFmtId="10" fontId="17" fillId="0" borderId="57" xfId="8" applyNumberFormat="1" applyFont="1" applyBorder="1" applyAlignment="1">
      <alignment horizontal="center" vertical="center" wrapText="1"/>
    </xf>
    <xf numFmtId="0" fontId="17" fillId="0" borderId="54" xfId="8" applyFont="1" applyBorder="1" applyAlignment="1">
      <alignment horizontal="center" vertical="center" wrapText="1"/>
    </xf>
    <xf numFmtId="0" fontId="17" fillId="0" borderId="57" xfId="8" applyFont="1" applyBorder="1" applyAlignment="1">
      <alignment horizontal="center" vertical="center" wrapText="1"/>
    </xf>
    <xf numFmtId="0" fontId="17" fillId="0" borderId="55" xfId="8" applyFont="1" applyBorder="1" applyAlignment="1">
      <alignment horizontal="center" vertical="center" wrapText="1"/>
    </xf>
    <xf numFmtId="0" fontId="17" fillId="0" borderId="56" xfId="8" applyFont="1" applyBorder="1" applyAlignment="1">
      <alignment horizontal="center" vertical="center" wrapText="1"/>
    </xf>
    <xf numFmtId="0" fontId="17" fillId="0" borderId="58" xfId="8" applyFont="1" applyBorder="1" applyAlignment="1">
      <alignment horizontal="center" vertical="center" wrapText="1"/>
    </xf>
    <xf numFmtId="0" fontId="17" fillId="0" borderId="59" xfId="8" applyFont="1" applyBorder="1" applyAlignment="1">
      <alignment horizontal="center" vertical="center" wrapText="1"/>
    </xf>
    <xf numFmtId="0" fontId="16" fillId="0" borderId="54" xfId="8" applyFont="1" applyBorder="1" applyAlignment="1">
      <alignment horizontal="center" vertical="center" wrapText="1"/>
    </xf>
    <xf numFmtId="0" fontId="16" fillId="0" borderId="57" xfId="8" applyFont="1" applyBorder="1" applyAlignment="1">
      <alignment horizontal="center" vertical="center" wrapText="1"/>
    </xf>
    <xf numFmtId="14" fontId="17" fillId="0" borderId="50" xfId="8" applyNumberFormat="1" applyFont="1" applyBorder="1" applyAlignment="1">
      <alignment horizontal="center" vertical="center" wrapText="1"/>
    </xf>
    <xf numFmtId="14" fontId="17" fillId="0" borderId="54" xfId="8" applyNumberFormat="1" applyFont="1" applyBorder="1" applyAlignment="1">
      <alignment horizontal="center" vertical="center" wrapText="1"/>
    </xf>
    <xf numFmtId="14" fontId="17" fillId="0" borderId="57" xfId="8" applyNumberFormat="1" applyFont="1" applyBorder="1" applyAlignment="1">
      <alignment horizontal="center" vertical="center" wrapText="1"/>
    </xf>
    <xf numFmtId="0" fontId="16" fillId="12" borderId="51" xfId="8" applyFont="1" applyFill="1" applyBorder="1" applyAlignment="1">
      <alignment horizontal="center" vertical="center" wrapText="1"/>
    </xf>
    <xf numFmtId="0" fontId="16" fillId="12" borderId="52" xfId="8" applyFont="1" applyFill="1" applyBorder="1" applyAlignment="1">
      <alignment horizontal="center" vertical="center" wrapText="1"/>
    </xf>
    <xf numFmtId="0" fontId="16" fillId="12" borderId="53" xfId="8" applyFont="1" applyFill="1" applyBorder="1" applyAlignment="1">
      <alignment horizontal="center" vertical="center" wrapText="1"/>
    </xf>
    <xf numFmtId="0" fontId="16" fillId="12" borderId="50" xfId="8" applyFont="1" applyFill="1" applyBorder="1" applyAlignment="1">
      <alignment horizontal="center" vertical="center" wrapText="1"/>
    </xf>
    <xf numFmtId="0" fontId="16" fillId="12" borderId="50" xfId="8" applyFont="1" applyFill="1" applyBorder="1" applyAlignment="1">
      <alignment horizontal="center" vertical="center"/>
    </xf>
    <xf numFmtId="0" fontId="17" fillId="3" borderId="50" xfId="8" applyFont="1" applyFill="1" applyBorder="1" applyAlignment="1">
      <alignment horizontal="left" vertical="center" wrapText="1"/>
    </xf>
    <xf numFmtId="0" fontId="16" fillId="12" borderId="54" xfId="8" applyFont="1" applyFill="1" applyBorder="1" applyAlignment="1">
      <alignment horizontal="center" vertical="center"/>
    </xf>
    <xf numFmtId="0" fontId="17" fillId="3" borderId="54" xfId="8" applyFont="1" applyFill="1" applyBorder="1" applyAlignment="1">
      <alignment horizontal="center" vertical="center"/>
    </xf>
    <xf numFmtId="0" fontId="17" fillId="3" borderId="51" xfId="8" applyFont="1" applyFill="1" applyBorder="1" applyAlignment="1">
      <alignment horizontal="center" vertical="center"/>
    </xf>
    <xf numFmtId="0" fontId="17" fillId="3" borderId="52" xfId="8" applyFont="1" applyFill="1" applyBorder="1" applyAlignment="1">
      <alignment horizontal="center" vertical="center"/>
    </xf>
    <xf numFmtId="0" fontId="17" fillId="3" borderId="53" xfId="8" applyFont="1" applyFill="1" applyBorder="1" applyAlignment="1">
      <alignment horizontal="center" vertical="center"/>
    </xf>
    <xf numFmtId="0" fontId="12" fillId="3" borderId="30" xfId="8" applyFont="1" applyFill="1" applyBorder="1" applyAlignment="1">
      <alignment horizontal="center" vertical="center" wrapText="1" readingOrder="1"/>
    </xf>
    <xf numFmtId="0" fontId="12" fillId="3" borderId="31" xfId="8" applyFont="1" applyFill="1" applyBorder="1" applyAlignment="1">
      <alignment horizontal="center" vertical="center" wrapText="1" readingOrder="1"/>
    </xf>
    <xf numFmtId="0" fontId="12" fillId="3" borderId="32" xfId="8" applyFont="1" applyFill="1" applyBorder="1" applyAlignment="1">
      <alignment horizontal="center" vertical="center" wrapText="1" readingOrder="1"/>
    </xf>
    <xf numFmtId="0" fontId="12" fillId="3" borderId="12" xfId="8" applyFont="1" applyFill="1" applyBorder="1" applyAlignment="1">
      <alignment horizontal="center" vertical="center" wrapText="1" readingOrder="1"/>
    </xf>
    <xf numFmtId="0" fontId="12" fillId="3" borderId="0" xfId="8" applyFont="1" applyFill="1" applyAlignment="1">
      <alignment horizontal="center" vertical="center" wrapText="1" readingOrder="1"/>
    </xf>
    <xf numFmtId="0" fontId="12" fillId="3" borderId="13" xfId="8" applyFont="1" applyFill="1" applyBorder="1" applyAlignment="1">
      <alignment horizontal="center" vertical="center" wrapText="1" readingOrder="1"/>
    </xf>
    <xf numFmtId="0" fontId="12" fillId="3" borderId="14" xfId="8" applyFont="1" applyFill="1" applyBorder="1" applyAlignment="1">
      <alignment horizontal="center" vertical="center" wrapText="1" readingOrder="1"/>
    </xf>
    <xf numFmtId="0" fontId="12" fillId="3" borderId="15" xfId="8" applyFont="1" applyFill="1" applyBorder="1" applyAlignment="1">
      <alignment horizontal="center" vertical="center" wrapText="1" readingOrder="1"/>
    </xf>
    <xf numFmtId="0" fontId="12" fillId="3" borderId="16" xfId="8" applyFont="1" applyFill="1" applyBorder="1" applyAlignment="1">
      <alignment horizontal="center" vertical="center" wrapText="1" readingOrder="1"/>
    </xf>
    <xf numFmtId="0" fontId="17" fillId="3" borderId="50" xfId="8" applyFont="1" applyFill="1" applyBorder="1" applyAlignment="1">
      <alignment horizontal="left" vertical="center"/>
    </xf>
    <xf numFmtId="0" fontId="17" fillId="3" borderId="50" xfId="8" applyFont="1" applyFill="1" applyBorder="1" applyAlignment="1">
      <alignment horizontal="center" vertical="center"/>
    </xf>
    <xf numFmtId="0" fontId="16" fillId="3" borderId="51" xfId="8" applyFont="1" applyFill="1" applyBorder="1" applyAlignment="1">
      <alignment horizontal="center" vertical="center"/>
    </xf>
    <xf numFmtId="0" fontId="16" fillId="3" borderId="52" xfId="8" applyFont="1" applyFill="1" applyBorder="1" applyAlignment="1">
      <alignment horizontal="center" vertical="center"/>
    </xf>
    <xf numFmtId="0" fontId="16" fillId="3" borderId="53" xfId="8" applyFont="1" applyFill="1" applyBorder="1" applyAlignment="1">
      <alignment horizontal="center" vertical="center"/>
    </xf>
    <xf numFmtId="0" fontId="39" fillId="9" borderId="68" xfId="0" applyFont="1" applyFill="1" applyBorder="1" applyAlignment="1">
      <alignment horizontal="center" vertical="center" wrapText="1"/>
    </xf>
    <xf numFmtId="0" fontId="39" fillId="9" borderId="73" xfId="0" applyFont="1" applyFill="1" applyBorder="1" applyAlignment="1">
      <alignment horizontal="center" vertical="center"/>
    </xf>
    <xf numFmtId="0" fontId="39" fillId="9" borderId="74" xfId="0" applyFont="1" applyFill="1" applyBorder="1" applyAlignment="1">
      <alignment horizontal="center" vertical="center"/>
    </xf>
    <xf numFmtId="0" fontId="20" fillId="14" borderId="60" xfId="0" applyFont="1" applyFill="1" applyBorder="1" applyAlignment="1">
      <alignment horizontal="center" vertical="center" wrapText="1"/>
    </xf>
    <xf numFmtId="0" fontId="20" fillId="14" borderId="19" xfId="0" applyFont="1" applyFill="1" applyBorder="1" applyAlignment="1">
      <alignment horizontal="center" vertical="center" wrapText="1"/>
    </xf>
    <xf numFmtId="0" fontId="20" fillId="14" borderId="61" xfId="0" applyFont="1" applyFill="1" applyBorder="1" applyAlignment="1">
      <alignment horizontal="center" vertical="center" wrapText="1"/>
    </xf>
    <xf numFmtId="0" fontId="20" fillId="14" borderId="66" xfId="0" applyFont="1" applyFill="1" applyBorder="1" applyAlignment="1">
      <alignment horizontal="center" vertical="center" wrapText="1"/>
    </xf>
    <xf numFmtId="0" fontId="20" fillId="14" borderId="70" xfId="0" applyFont="1" applyFill="1" applyBorder="1" applyAlignment="1">
      <alignment horizontal="center" vertical="center" wrapText="1"/>
    </xf>
    <xf numFmtId="0" fontId="20" fillId="14" borderId="71" xfId="0" applyFont="1" applyFill="1" applyBorder="1" applyAlignment="1">
      <alignment horizontal="center" vertical="center" wrapText="1"/>
    </xf>
    <xf numFmtId="0" fontId="20" fillId="14" borderId="72" xfId="0" applyFont="1" applyFill="1" applyBorder="1" applyAlignment="1">
      <alignment horizontal="center" vertical="center" wrapText="1"/>
    </xf>
    <xf numFmtId="0" fontId="20" fillId="15" borderId="15" xfId="0" applyFont="1" applyFill="1" applyBorder="1" applyAlignment="1">
      <alignment horizontal="center" wrapText="1"/>
    </xf>
    <xf numFmtId="0" fontId="20" fillId="14" borderId="67" xfId="0" applyFont="1" applyFill="1" applyBorder="1" applyAlignment="1">
      <alignment horizontal="center" vertical="center" wrapText="1"/>
    </xf>
    <xf numFmtId="0" fontId="20" fillId="14" borderId="69"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cellXfs>
  <cellStyles count="11">
    <cellStyle name="_x0004_¥" xfId="7" xr:uid="{00000000-0005-0000-0000-000000000000}"/>
    <cellStyle name="Millares" xfId="1" builtinId="3"/>
    <cellStyle name="Millares 2" xfId="4" xr:uid="{00000000-0005-0000-0000-000002000000}"/>
    <cellStyle name="Millares_CMI - CMET - Clientes" xfId="5" xr:uid="{00000000-0005-0000-0000-000003000000}"/>
    <cellStyle name="Normal" xfId="0" builtinId="0"/>
    <cellStyle name="Normal 2" xfId="6" xr:uid="{00000000-0005-0000-0000-000005000000}"/>
    <cellStyle name="Normal 3" xfId="8" xr:uid="{00000000-0005-0000-0000-000006000000}"/>
    <cellStyle name="Normal_CMI - CMET - Clientes" xfId="3" xr:uid="{00000000-0005-0000-0000-000007000000}"/>
    <cellStyle name="Normal_F1a 2" xfId="2" xr:uid="{00000000-0005-0000-0000-000008000000}"/>
    <cellStyle name="Porcentaje" xfId="10" builtinId="5"/>
    <cellStyle name="Porcentaje 2" xfId="9" xr:uid="{00000000-0005-0000-0000-000009000000}"/>
  </cellStyles>
  <dxfs count="28">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70C0"/>
        </patternFill>
      </fill>
    </dxf>
    <dxf>
      <font>
        <color rgb="FF0070C0"/>
      </font>
      <fill>
        <patternFill>
          <bgColor rgb="FF0070C0"/>
        </patternFill>
      </fill>
    </dxf>
    <dxf>
      <font>
        <color rgb="FF002060"/>
      </font>
      <fill>
        <patternFill>
          <bgColor rgb="FF002060"/>
        </patternFill>
      </fill>
    </dxf>
    <dxf>
      <font>
        <color rgb="FF00B050"/>
      </font>
      <fill>
        <patternFill>
          <bgColor rgb="FF00B050"/>
        </patternFill>
      </fill>
    </dxf>
    <dxf>
      <font>
        <b/>
        <i val="0"/>
        <color theme="1"/>
      </font>
      <fill>
        <patternFill>
          <bgColor rgb="FFFFFF00"/>
        </patternFill>
      </fill>
    </dxf>
    <dxf>
      <font>
        <b/>
        <i val="0"/>
        <color theme="1"/>
      </font>
      <fill>
        <patternFill>
          <bgColor rgb="FF00B050"/>
        </patternFill>
      </fill>
    </dxf>
    <dxf>
      <font>
        <b/>
        <i val="0"/>
        <color theme="1"/>
      </font>
      <fill>
        <patternFill>
          <bgColor rgb="FFFFC000"/>
        </patternFill>
      </fill>
    </dxf>
    <dxf>
      <font>
        <b/>
        <i val="0"/>
        <color theme="1"/>
      </font>
      <fill>
        <patternFill>
          <bgColor rgb="FFFF0000"/>
        </patternFill>
      </fill>
    </dxf>
    <dxf>
      <fill>
        <patternFill>
          <bgColor rgb="FF0070C0"/>
        </patternFill>
      </fill>
    </dxf>
    <dxf>
      <font>
        <color rgb="FF0070C0"/>
      </font>
      <fill>
        <patternFill>
          <bgColor rgb="FF0070C0"/>
        </patternFill>
      </fill>
    </dxf>
    <dxf>
      <font>
        <color rgb="FF002060"/>
      </font>
      <fill>
        <patternFill>
          <bgColor rgb="FF002060"/>
        </patternFill>
      </fill>
    </dxf>
    <dxf>
      <font>
        <color rgb="FF00B050"/>
      </font>
      <fill>
        <patternFill>
          <bgColor rgb="FF00B050"/>
        </patternFill>
      </fill>
    </dxf>
    <dxf>
      <font>
        <b/>
        <i val="0"/>
        <color theme="1"/>
      </font>
      <fill>
        <patternFill>
          <bgColor rgb="FFFFFF00"/>
        </patternFill>
      </fill>
    </dxf>
    <dxf>
      <font>
        <b/>
        <i val="0"/>
        <color theme="1"/>
      </font>
      <fill>
        <patternFill>
          <bgColor rgb="FF00B050"/>
        </patternFill>
      </fill>
    </dxf>
    <dxf>
      <font>
        <b/>
        <i val="0"/>
        <color theme="1"/>
      </font>
      <fill>
        <patternFill>
          <bgColor rgb="FFFFC000"/>
        </patternFill>
      </fill>
    </dxf>
    <dxf>
      <font>
        <b/>
        <i val="0"/>
        <color theme="1"/>
      </font>
      <fill>
        <patternFill>
          <bgColor rgb="FFFF0000"/>
        </patternFill>
      </fill>
    </dxf>
    <dxf>
      <fill>
        <patternFill>
          <bgColor rgb="FF00FF00"/>
        </patternFill>
      </fill>
    </dxf>
    <dxf>
      <fill>
        <patternFill>
          <bgColor rgb="FFFFFF00"/>
        </patternFill>
      </fill>
    </dxf>
    <dxf>
      <font>
        <color rgb="FF9C0006"/>
      </font>
      <fill>
        <patternFill>
          <bgColor rgb="FFFF0000"/>
        </patternFill>
      </fill>
    </dxf>
    <dxf>
      <font>
        <condense val="0"/>
        <extend val="0"/>
        <color indexed="11"/>
      </font>
      <fill>
        <patternFill>
          <bgColor indexed="43"/>
        </patternFill>
      </fill>
    </dxf>
    <dxf>
      <font>
        <condense val="0"/>
        <extend val="0"/>
        <color indexed="52"/>
      </font>
      <fill>
        <patternFill patternType="solid">
          <bgColor indexed="43"/>
        </patternFill>
      </fill>
    </dxf>
    <dxf>
      <font>
        <condense val="0"/>
        <extend val="0"/>
        <color indexed="10"/>
      </font>
      <fill>
        <patternFill patternType="solid">
          <bgColor indexed="43"/>
        </patternFill>
      </fill>
    </dxf>
    <dxf>
      <font>
        <condense val="0"/>
        <extend val="0"/>
        <color indexed="11"/>
      </font>
      <fill>
        <patternFill patternType="none">
          <bgColor indexed="65"/>
        </patternFill>
      </fill>
    </dxf>
    <dxf>
      <font>
        <condense val="0"/>
        <extend val="0"/>
        <color indexed="51"/>
      </font>
      <fill>
        <patternFill patternType="none">
          <bgColor indexed="65"/>
        </patternFill>
      </fill>
    </dxf>
    <dxf>
      <font>
        <condense val="0"/>
        <extend val="0"/>
        <color indexed="10"/>
      </font>
      <fill>
        <patternFill patternType="none">
          <bgColor indexed="65"/>
        </patternFill>
      </fill>
    </dxf>
  </dxfs>
  <tableStyles count="1" defaultTableStyle="TableStyleMedium9" defaultPivotStyle="PivotStyleLight16">
    <tableStyle name="Invisible" pivot="0" table="0" count="0" xr9:uid="{77306F20-9BBC-41F3-A56E-A0CBF566D29F}"/>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-BSC'!$C$14:$N$14</c:f>
              <c:numCache>
                <c:formatCode>0.0</c:formatCode>
                <c:ptCount val="12"/>
                <c:pt idx="0">
                  <c:v>89.9</c:v>
                </c:pt>
                <c:pt idx="1">
                  <c:v>89.9</c:v>
                </c:pt>
                <c:pt idx="2">
                  <c:v>89.9</c:v>
                </c:pt>
                <c:pt idx="3">
                  <c:v>89.9</c:v>
                </c:pt>
                <c:pt idx="4">
                  <c:v>89.9</c:v>
                </c:pt>
                <c:pt idx="5">
                  <c:v>89.9</c:v>
                </c:pt>
                <c:pt idx="6">
                  <c:v>89.9</c:v>
                </c:pt>
                <c:pt idx="7">
                  <c:v>89.9</c:v>
                </c:pt>
                <c:pt idx="8">
                  <c:v>89.9</c:v>
                </c:pt>
                <c:pt idx="9">
                  <c:v>89.9</c:v>
                </c:pt>
                <c:pt idx="10">
                  <c:v>89.9</c:v>
                </c:pt>
                <c:pt idx="11">
                  <c:v>89.9</c:v>
                </c:pt>
              </c:numCache>
            </c:numRef>
          </c:val>
          <c:extLst>
            <c:ext xmlns:c16="http://schemas.microsoft.com/office/drawing/2014/chart" uri="{C3380CC4-5D6E-409C-BE32-E72D297353CC}">
              <c16:uniqueId val="{00000002-3725-4F85-BC3E-C1D58A26C33A}"/>
            </c:ext>
          </c:extLst>
        </c:ser>
        <c:ser>
          <c:idx val="3"/>
          <c:order val="3"/>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-BSC'!$C$15:$N$15</c:f>
              <c:numCache>
                <c:formatCode>0.0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extLst>
            <c:ext xmlns:c16="http://schemas.microsoft.com/office/drawing/2014/chart" uri="{C3380CC4-5D6E-409C-BE32-E72D297353CC}">
              <c16:uniqueId val="{00000003-3725-4F85-BC3E-C1D58A26C33A}"/>
            </c:ext>
          </c:extLst>
        </c:ser>
        <c:dLbls>
          <c:showLegendKey val="0"/>
          <c:showVal val="0"/>
          <c:showCatName val="0"/>
          <c:showSerName val="0"/>
          <c:showPercent val="0"/>
          <c:showBubbleSize val="0"/>
        </c:dLbls>
        <c:axId val="113382847"/>
        <c:axId val="1906873391"/>
      </c:areaChart>
      <c:lineChart>
        <c:grouping val="standard"/>
        <c:varyColors val="0"/>
        <c:ser>
          <c:idx val="0"/>
          <c:order val="0"/>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3725-4F85-BC3E-C1D58A26C33A}"/>
              </c:ext>
            </c:extLst>
          </c:dPt>
          <c:dPt>
            <c:idx val="2"/>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3725-4F85-BC3E-C1D58A26C33A}"/>
              </c:ext>
            </c:extLst>
          </c:dPt>
          <c:dPt>
            <c:idx val="3"/>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C-3725-4F85-BC3E-C1D58A26C33A}"/>
              </c:ext>
            </c:extLst>
          </c:dPt>
          <c:dPt>
            <c:idx val="4"/>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3725-4F85-BC3E-C1D58A26C33A}"/>
              </c:ext>
            </c:extLst>
          </c:dPt>
          <c:dPt>
            <c:idx val="5"/>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E-3725-4F85-BC3E-C1D58A26C33A}"/>
              </c:ext>
            </c:extLst>
          </c:dPt>
          <c:dPt>
            <c:idx val="6"/>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3725-4F85-BC3E-C1D58A26C33A}"/>
              </c:ext>
            </c:extLst>
          </c:dPt>
          <c:dPt>
            <c:idx val="7"/>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0-3725-4F85-BC3E-C1D58A26C33A}"/>
              </c:ext>
            </c:extLst>
          </c:dPt>
          <c:dPt>
            <c:idx val="8"/>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3725-4F85-BC3E-C1D58A26C33A}"/>
              </c:ext>
            </c:extLst>
          </c:dPt>
          <c:dPt>
            <c:idx val="9"/>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3725-4F85-BC3E-C1D58A26C33A}"/>
              </c:ext>
            </c:extLst>
          </c:dPt>
          <c:dPt>
            <c:idx val="10"/>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2-3725-4F85-BC3E-C1D58A26C33A}"/>
              </c:ext>
            </c:extLst>
          </c:dPt>
          <c:dPt>
            <c:idx val="11"/>
            <c:marker>
              <c:symbol val="circle"/>
              <c:size val="6"/>
              <c:spPr>
                <a:solidFill>
                  <a:schemeClr val="tx1"/>
                </a:solidFill>
                <a:ln w="9525">
                  <a:solidFill>
                    <a:schemeClr val="tx1"/>
                  </a:solidFill>
                  <a:beve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tx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3725-4F85-BC3E-C1D58A26C33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s-PE"/>
              </a:p>
            </c:txPr>
            <c:dLblPos val="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-BSC'!$C$12:$N$12</c:f>
              <c:numCache>
                <c:formatCode>0.0</c:formatCode>
                <c:ptCount val="12"/>
                <c:pt idx="0">
                  <c:v>117</c:v>
                </c:pt>
                <c:pt idx="1">
                  <c:v>98</c:v>
                </c:pt>
                <c:pt idx="2">
                  <c:v>98</c:v>
                </c:pt>
                <c:pt idx="3">
                  <c:v>100</c:v>
                </c:pt>
                <c:pt idx="5">
                  <c:v>100</c:v>
                </c:pt>
                <c:pt idx="6">
                  <c:v>100</c:v>
                </c:pt>
                <c:pt idx="7">
                  <c:v>97</c:v>
                </c:pt>
                <c:pt idx="8">
                  <c:v>100</c:v>
                </c:pt>
                <c:pt idx="9">
                  <c:v>98</c:v>
                </c:pt>
                <c:pt idx="10">
                  <c:v>100</c:v>
                </c:pt>
              </c:numCache>
            </c:numRef>
          </c:val>
          <c:smooth val="1"/>
          <c:extLst>
            <c:ext xmlns:c16="http://schemas.microsoft.com/office/drawing/2014/chart" uri="{C3380CC4-5D6E-409C-BE32-E72D297353CC}">
              <c16:uniqueId val="{00000000-3725-4F85-BC3E-C1D58A26C33A}"/>
            </c:ext>
          </c:extLst>
        </c:ser>
        <c:ser>
          <c:idx val="1"/>
          <c:order val="1"/>
          <c:spPr>
            <a:ln w="34925" cap="rnd">
              <a:solidFill>
                <a:srgbClr val="FF0000"/>
              </a:solidFill>
              <a:round/>
            </a:ln>
            <a:effectLst>
              <a:outerShdw blurRad="40000" dist="23000" dir="5400000" rotWithShape="0">
                <a:srgbClr val="000000">
                  <a:alpha val="35000"/>
                </a:srgbClr>
              </a:outerShdw>
            </a:effectLst>
          </c:spPr>
          <c:marker>
            <c:symbol val="none"/>
          </c:marker>
          <c:cat>
            <c:strRef>
              <c:f>'BALANCE SCORE CARD -BSC'!$C$11:$N$11</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'BALANCE SCORE CARD -BSC'!$C$13:$N$13</c:f>
              <c:numCache>
                <c:formatCode>0.0</c:formatCode>
                <c:ptCount val="12"/>
                <c:pt idx="0">
                  <c:v>90</c:v>
                </c:pt>
                <c:pt idx="1">
                  <c:v>90</c:v>
                </c:pt>
                <c:pt idx="2">
                  <c:v>90</c:v>
                </c:pt>
                <c:pt idx="3">
                  <c:v>90</c:v>
                </c:pt>
                <c:pt idx="4">
                  <c:v>90</c:v>
                </c:pt>
                <c:pt idx="5">
                  <c:v>90</c:v>
                </c:pt>
                <c:pt idx="6">
                  <c:v>90</c:v>
                </c:pt>
                <c:pt idx="7">
                  <c:v>90</c:v>
                </c:pt>
                <c:pt idx="8">
                  <c:v>90</c:v>
                </c:pt>
                <c:pt idx="9">
                  <c:v>90</c:v>
                </c:pt>
                <c:pt idx="10">
                  <c:v>90</c:v>
                </c:pt>
                <c:pt idx="11">
                  <c:v>90</c:v>
                </c:pt>
              </c:numCache>
            </c:numRef>
          </c:val>
          <c:smooth val="0"/>
          <c:extLst>
            <c:ext xmlns:c16="http://schemas.microsoft.com/office/drawing/2014/chart" uri="{C3380CC4-5D6E-409C-BE32-E72D297353CC}">
              <c16:uniqueId val="{00000001-3725-4F85-BC3E-C1D58A26C33A}"/>
            </c:ext>
          </c:extLst>
        </c:ser>
        <c:dLbls>
          <c:showLegendKey val="0"/>
          <c:showVal val="0"/>
          <c:showCatName val="0"/>
          <c:showSerName val="0"/>
          <c:showPercent val="0"/>
          <c:showBubbleSize val="0"/>
        </c:dLbls>
        <c:marker val="1"/>
        <c:smooth val="0"/>
        <c:axId val="113382847"/>
        <c:axId val="1906873391"/>
      </c:lineChart>
      <c:catAx>
        <c:axId val="113382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PE"/>
          </a:p>
        </c:txPr>
        <c:crossAx val="1906873391"/>
        <c:crosses val="autoZero"/>
        <c:auto val="1"/>
        <c:lblAlgn val="ctr"/>
        <c:lblOffset val="100"/>
        <c:noMultiLvlLbl val="0"/>
      </c:catAx>
      <c:valAx>
        <c:axId val="1906873391"/>
        <c:scaling>
          <c:orientation val="minMax"/>
          <c:max val="130"/>
          <c:min val="6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PE"/>
          </a:p>
        </c:txPr>
        <c:crossAx val="113382847"/>
        <c:crosses val="autoZero"/>
        <c:crossBetween val="midCat"/>
      </c:valAx>
      <c:spPr>
        <a:solidFill>
          <a:srgbClr val="00FF00"/>
        </a:solidFill>
        <a:ln>
          <a:solidFill>
            <a:srgbClr val="808080"/>
          </a:solidFill>
        </a:ln>
        <a:effectLst/>
      </c:spPr>
    </c:plotArea>
    <c:plotVisOnly val="1"/>
    <c:dispBlanksAs val="gap"/>
    <c:showDLblsOverMax val="0"/>
  </c:chart>
  <c:spPr>
    <a:solidFill>
      <a:schemeClr val="bg1"/>
    </a:solidFill>
    <a:ln w="25400" cap="flat" cmpd="sng" algn="ctr">
      <a:solidFill>
        <a:schemeClr val="tx1"/>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466725</xdr:colOff>
      <xdr:row>32</xdr:row>
      <xdr:rowOff>109236</xdr:rowOff>
    </xdr:from>
    <xdr:to>
      <xdr:col>2</xdr:col>
      <xdr:colOff>295275</xdr:colOff>
      <xdr:row>34</xdr:row>
      <xdr:rowOff>12056</xdr:rowOff>
    </xdr:to>
    <xdr:sp macro="" textlink="">
      <xdr:nvSpPr>
        <xdr:cNvPr id="6" name="Text Box 5">
          <a:extLst>
            <a:ext uri="{FF2B5EF4-FFF2-40B4-BE49-F238E27FC236}">
              <a16:creationId xmlns:a16="http://schemas.microsoft.com/office/drawing/2014/main" id="{00000000-0008-0000-0000-000006000000}"/>
            </a:ext>
          </a:extLst>
        </xdr:cNvPr>
        <xdr:cNvSpPr txBox="1">
          <a:spLocks noChangeArrowheads="1"/>
        </xdr:cNvSpPr>
      </xdr:nvSpPr>
      <xdr:spPr bwMode="auto">
        <a:xfrm>
          <a:off x="756092" y="5788065"/>
          <a:ext cx="1432126" cy="228358"/>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INDICADOR</a:t>
          </a:r>
        </a:p>
      </xdr:txBody>
    </xdr:sp>
    <xdr:clientData/>
  </xdr:twoCellAnchor>
  <xdr:twoCellAnchor>
    <xdr:from>
      <xdr:col>9</xdr:col>
      <xdr:colOff>23812</xdr:colOff>
      <xdr:row>32</xdr:row>
      <xdr:rowOff>95249</xdr:rowOff>
    </xdr:from>
    <xdr:to>
      <xdr:col>11</xdr:col>
      <xdr:colOff>419100</xdr:colOff>
      <xdr:row>34</xdr:row>
      <xdr:rowOff>0</xdr:rowOff>
    </xdr:to>
    <xdr:sp macro="" textlink="">
      <xdr:nvSpPr>
        <xdr:cNvPr id="9" name="Text Box 8">
          <a:extLst>
            <a:ext uri="{FF2B5EF4-FFF2-40B4-BE49-F238E27FC236}">
              <a16:creationId xmlns:a16="http://schemas.microsoft.com/office/drawing/2014/main" id="{00000000-0008-0000-0000-000009000000}"/>
            </a:ext>
          </a:extLst>
        </xdr:cNvPr>
        <xdr:cNvSpPr txBox="1">
          <a:spLocks noChangeArrowheads="1"/>
        </xdr:cNvSpPr>
      </xdr:nvSpPr>
      <xdr:spPr bwMode="auto">
        <a:xfrm>
          <a:off x="9917906" y="7691437"/>
          <a:ext cx="2657475" cy="238126"/>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RESPONSABLES</a:t>
          </a:r>
        </a:p>
      </xdr:txBody>
    </xdr:sp>
    <xdr:clientData/>
  </xdr:twoCellAnchor>
  <xdr:twoCellAnchor>
    <xdr:from>
      <xdr:col>3</xdr:col>
      <xdr:colOff>238727</xdr:colOff>
      <xdr:row>32</xdr:row>
      <xdr:rowOff>73065</xdr:rowOff>
    </xdr:from>
    <xdr:to>
      <xdr:col>5</xdr:col>
      <xdr:colOff>381602</xdr:colOff>
      <xdr:row>34</xdr:row>
      <xdr:rowOff>0</xdr:rowOff>
    </xdr:to>
    <xdr:sp macro="" textlink="">
      <xdr:nvSpPr>
        <xdr:cNvPr id="68" name="Text Box 6">
          <a:extLst>
            <a:ext uri="{FF2B5EF4-FFF2-40B4-BE49-F238E27FC236}">
              <a16:creationId xmlns:a16="http://schemas.microsoft.com/office/drawing/2014/main" id="{00000000-0008-0000-0000-000044000000}"/>
            </a:ext>
          </a:extLst>
        </xdr:cNvPr>
        <xdr:cNvSpPr txBox="1">
          <a:spLocks noChangeArrowheads="1"/>
        </xdr:cNvSpPr>
      </xdr:nvSpPr>
      <xdr:spPr bwMode="auto">
        <a:xfrm>
          <a:off x="2891259" y="5751894"/>
          <a:ext cx="1493254" cy="252473"/>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FACTORES</a:t>
          </a:r>
        </a:p>
      </xdr:txBody>
    </xdr:sp>
    <xdr:clientData/>
  </xdr:twoCellAnchor>
  <xdr:twoCellAnchor>
    <xdr:from>
      <xdr:col>6</xdr:col>
      <xdr:colOff>55340</xdr:colOff>
      <xdr:row>32</xdr:row>
      <xdr:rowOff>73065</xdr:rowOff>
    </xdr:from>
    <xdr:to>
      <xdr:col>8</xdr:col>
      <xdr:colOff>293465</xdr:colOff>
      <xdr:row>33</xdr:row>
      <xdr:rowOff>144683</xdr:rowOff>
    </xdr:to>
    <xdr:sp macro="" textlink="">
      <xdr:nvSpPr>
        <xdr:cNvPr id="69" name="Text Box 7">
          <a:extLst>
            <a:ext uri="{FF2B5EF4-FFF2-40B4-BE49-F238E27FC236}">
              <a16:creationId xmlns:a16="http://schemas.microsoft.com/office/drawing/2014/main" id="{00000000-0008-0000-0000-000045000000}"/>
            </a:ext>
          </a:extLst>
        </xdr:cNvPr>
        <xdr:cNvSpPr txBox="1">
          <a:spLocks noChangeArrowheads="1"/>
        </xdr:cNvSpPr>
      </xdr:nvSpPr>
      <xdr:spPr bwMode="auto">
        <a:xfrm>
          <a:off x="4926353" y="5751894"/>
          <a:ext cx="1877871" cy="240416"/>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Arial"/>
              <a:cs typeface="Arial"/>
            </a:rPr>
            <a:t>CAUSAS</a:t>
          </a:r>
        </a:p>
      </xdr:txBody>
    </xdr:sp>
    <xdr:clientData/>
  </xdr:twoCellAnchor>
  <xdr:twoCellAnchor editAs="oneCell">
    <xdr:from>
      <xdr:col>0</xdr:col>
      <xdr:colOff>107156</xdr:colOff>
      <xdr:row>0</xdr:row>
      <xdr:rowOff>35719</xdr:rowOff>
    </xdr:from>
    <xdr:to>
      <xdr:col>1</xdr:col>
      <xdr:colOff>171979</xdr:colOff>
      <xdr:row>0</xdr:row>
      <xdr:rowOff>649553</xdr:rowOff>
    </xdr:to>
    <xdr:pic>
      <xdr:nvPicPr>
        <xdr:cNvPr id="26" name="Picture 1">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7156" y="35719"/>
          <a:ext cx="910167" cy="613834"/>
        </a:xfrm>
        <a:prstGeom prst="rect">
          <a:avLst/>
        </a:prstGeom>
        <a:noFill/>
        <a:ln w="9525">
          <a:noFill/>
          <a:miter lim="800000"/>
          <a:headEnd/>
          <a:tailEnd/>
        </a:ln>
      </xdr:spPr>
    </xdr:pic>
    <xdr:clientData/>
  </xdr:twoCellAnchor>
  <xdr:twoCellAnchor>
    <xdr:from>
      <xdr:col>0</xdr:col>
      <xdr:colOff>466725</xdr:colOff>
      <xdr:row>32</xdr:row>
      <xdr:rowOff>109236</xdr:rowOff>
    </xdr:from>
    <xdr:to>
      <xdr:col>2</xdr:col>
      <xdr:colOff>295275</xdr:colOff>
      <xdr:row>34</xdr:row>
      <xdr:rowOff>12056</xdr:rowOff>
    </xdr:to>
    <xdr:sp macro="" textlink="">
      <xdr:nvSpPr>
        <xdr:cNvPr id="29" name="Text Box 5">
          <a:extLst>
            <a:ext uri="{FF2B5EF4-FFF2-40B4-BE49-F238E27FC236}">
              <a16:creationId xmlns:a16="http://schemas.microsoft.com/office/drawing/2014/main" id="{00000000-0008-0000-0000-00001D000000}"/>
            </a:ext>
          </a:extLst>
        </xdr:cNvPr>
        <xdr:cNvSpPr txBox="1">
          <a:spLocks noChangeArrowheads="1"/>
        </xdr:cNvSpPr>
      </xdr:nvSpPr>
      <xdr:spPr bwMode="auto">
        <a:xfrm>
          <a:off x="466725" y="8300736"/>
          <a:ext cx="1533525" cy="236195"/>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INDICADOR</a:t>
          </a:r>
        </a:p>
      </xdr:txBody>
    </xdr:sp>
    <xdr:clientData/>
  </xdr:twoCellAnchor>
  <xdr:twoCellAnchor>
    <xdr:from>
      <xdr:col>9</xdr:col>
      <xdr:colOff>23812</xdr:colOff>
      <xdr:row>32</xdr:row>
      <xdr:rowOff>95249</xdr:rowOff>
    </xdr:from>
    <xdr:to>
      <xdr:col>11</xdr:col>
      <xdr:colOff>419100</xdr:colOff>
      <xdr:row>34</xdr:row>
      <xdr:rowOff>0</xdr:rowOff>
    </xdr:to>
    <xdr:sp macro="" textlink="">
      <xdr:nvSpPr>
        <xdr:cNvPr id="30" name="Text Box 8">
          <a:extLst>
            <a:ext uri="{FF2B5EF4-FFF2-40B4-BE49-F238E27FC236}">
              <a16:creationId xmlns:a16="http://schemas.microsoft.com/office/drawing/2014/main" id="{00000000-0008-0000-0000-00001E000000}"/>
            </a:ext>
          </a:extLst>
        </xdr:cNvPr>
        <xdr:cNvSpPr txBox="1">
          <a:spLocks noChangeArrowheads="1"/>
        </xdr:cNvSpPr>
      </xdr:nvSpPr>
      <xdr:spPr bwMode="auto">
        <a:xfrm>
          <a:off x="10301287" y="8286749"/>
          <a:ext cx="2662238" cy="238126"/>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RESPONSABLES</a:t>
          </a:r>
        </a:p>
      </xdr:txBody>
    </xdr:sp>
    <xdr:clientData/>
  </xdr:twoCellAnchor>
  <xdr:twoCellAnchor>
    <xdr:from>
      <xdr:col>3</xdr:col>
      <xdr:colOff>238727</xdr:colOff>
      <xdr:row>32</xdr:row>
      <xdr:rowOff>73065</xdr:rowOff>
    </xdr:from>
    <xdr:to>
      <xdr:col>5</xdr:col>
      <xdr:colOff>381602</xdr:colOff>
      <xdr:row>34</xdr:row>
      <xdr:rowOff>0</xdr:rowOff>
    </xdr:to>
    <xdr:sp macro="" textlink="">
      <xdr:nvSpPr>
        <xdr:cNvPr id="49" name="Text Box 6">
          <a:extLst>
            <a:ext uri="{FF2B5EF4-FFF2-40B4-BE49-F238E27FC236}">
              <a16:creationId xmlns:a16="http://schemas.microsoft.com/office/drawing/2014/main" id="{00000000-0008-0000-0000-000031000000}"/>
            </a:ext>
          </a:extLst>
        </xdr:cNvPr>
        <xdr:cNvSpPr txBox="1">
          <a:spLocks noChangeArrowheads="1"/>
        </xdr:cNvSpPr>
      </xdr:nvSpPr>
      <xdr:spPr bwMode="auto">
        <a:xfrm>
          <a:off x="2924777" y="8264565"/>
          <a:ext cx="1495425" cy="260310"/>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FACTORES</a:t>
          </a:r>
        </a:p>
      </xdr:txBody>
    </xdr:sp>
    <xdr:clientData/>
  </xdr:twoCellAnchor>
  <xdr:twoCellAnchor>
    <xdr:from>
      <xdr:col>6</xdr:col>
      <xdr:colOff>55340</xdr:colOff>
      <xdr:row>32</xdr:row>
      <xdr:rowOff>73065</xdr:rowOff>
    </xdr:from>
    <xdr:to>
      <xdr:col>8</xdr:col>
      <xdr:colOff>293465</xdr:colOff>
      <xdr:row>33</xdr:row>
      <xdr:rowOff>144683</xdr:rowOff>
    </xdr:to>
    <xdr:sp macro="" textlink="">
      <xdr:nvSpPr>
        <xdr:cNvPr id="50" name="Text Box 7">
          <a:extLst>
            <a:ext uri="{FF2B5EF4-FFF2-40B4-BE49-F238E27FC236}">
              <a16:creationId xmlns:a16="http://schemas.microsoft.com/office/drawing/2014/main" id="{00000000-0008-0000-0000-000032000000}"/>
            </a:ext>
          </a:extLst>
        </xdr:cNvPr>
        <xdr:cNvSpPr txBox="1">
          <a:spLocks noChangeArrowheads="1"/>
        </xdr:cNvSpPr>
      </xdr:nvSpPr>
      <xdr:spPr bwMode="auto">
        <a:xfrm>
          <a:off x="6446615" y="8264565"/>
          <a:ext cx="2705100" cy="243068"/>
        </a:xfrm>
        <a:prstGeom prst="rect">
          <a:avLst/>
        </a:prstGeom>
        <a:solidFill>
          <a:srgbClr val="FFFF99"/>
        </a:solidFill>
        <a:ln w="9525">
          <a:solidFill>
            <a:srgbClr val="000000"/>
          </a:solidFill>
          <a:miter lim="800000"/>
          <a:headEnd/>
          <a:tailEnd/>
        </a:ln>
      </xdr:spPr>
      <xdr:txBody>
        <a:bodyPr vertOverflow="clip" wrap="square" lIns="27432" tIns="18288" rIns="27432" bIns="0" anchor="ctr" upright="1"/>
        <a:lstStyle/>
        <a:p>
          <a:pPr algn="ctr" rtl="0">
            <a:defRPr sz="1000"/>
          </a:pPr>
          <a:r>
            <a:rPr lang="es-PE" sz="1100" b="1" i="0" u="none" strike="noStrike" baseline="0">
              <a:solidFill>
                <a:srgbClr val="000000"/>
              </a:solidFill>
              <a:latin typeface="Century Gothic" panose="020B0502020202020204" pitchFamily="34" charset="0"/>
              <a:cs typeface="Arial"/>
            </a:rPr>
            <a:t>CAUSAS</a:t>
          </a:r>
        </a:p>
      </xdr:txBody>
    </xdr:sp>
    <xdr:clientData/>
  </xdr:twoCellAnchor>
  <xdr:twoCellAnchor>
    <xdr:from>
      <xdr:col>3</xdr:col>
      <xdr:colOff>119065</xdr:colOff>
      <xdr:row>10</xdr:row>
      <xdr:rowOff>154781</xdr:rowOff>
    </xdr:from>
    <xdr:to>
      <xdr:col>8</xdr:col>
      <xdr:colOff>1309689</xdr:colOff>
      <xdr:row>11</xdr:row>
      <xdr:rowOff>226219</xdr:rowOff>
    </xdr:to>
    <xdr:sp macro="" textlink="">
      <xdr:nvSpPr>
        <xdr:cNvPr id="32" name="Rectangle 1">
          <a:extLst>
            <a:ext uri="{FF2B5EF4-FFF2-40B4-BE49-F238E27FC236}">
              <a16:creationId xmlns:a16="http://schemas.microsoft.com/office/drawing/2014/main" id="{00000000-0008-0000-0000-000020000000}"/>
            </a:ext>
          </a:extLst>
        </xdr:cNvPr>
        <xdr:cNvSpPr>
          <a:spLocks noChangeArrowheads="1"/>
        </xdr:cNvSpPr>
      </xdr:nvSpPr>
      <xdr:spPr bwMode="auto">
        <a:xfrm>
          <a:off x="2797971" y="4048125"/>
          <a:ext cx="7381874" cy="511969"/>
        </a:xfrm>
        <a:prstGeom prst="rect">
          <a:avLst/>
        </a:prstGeom>
        <a:solidFill>
          <a:srgbClr val="FFFFFF"/>
        </a:solidFill>
        <a:ln w="9525">
          <a:solidFill>
            <a:schemeClr val="bg1"/>
          </a:solidFill>
          <a:miter lim="800000"/>
          <a:headEnd/>
          <a:tailEnd/>
        </a:ln>
      </xdr:spPr>
      <xdr:txBody>
        <a:bodyPr vertOverflow="clip" wrap="square" lIns="27432" tIns="22860" rIns="0" bIns="22860" anchor="ctr" upright="1"/>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u="none" strike="noStrike" baseline="0">
              <a:solidFill>
                <a:srgbClr val="000000"/>
              </a:solidFill>
              <a:latin typeface="Century Gothic" panose="020B0502020202020204" pitchFamily="34" charset="0"/>
              <a:cs typeface="Arial"/>
            </a:rPr>
            <a:t>    PROMEDIO= </a:t>
          </a:r>
          <a:r>
            <a:rPr lang="en-US" sz="1200" b="0" i="0" u="sng" strike="noStrike" baseline="0">
              <a:solidFill>
                <a:srgbClr val="000000"/>
              </a:solidFill>
              <a:latin typeface="Century Gothic" panose="020B0502020202020204" pitchFamily="34" charset="0"/>
              <a:cs typeface="Arial"/>
            </a:rPr>
            <a:t>% de avance programado</a:t>
          </a:r>
          <a:r>
            <a:rPr kumimoji="0" lang="en-US" sz="1200" b="0" i="0" u="sng"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    </a:t>
          </a:r>
          <a:r>
            <a:rPr kumimoji="0" lang="en-US"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x 100  </a:t>
          </a:r>
          <a:endParaRPr kumimoji="0" lang="es-PE"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rPr>
            <a:t>                                   % de avance real</a:t>
          </a:r>
          <a:endParaRPr kumimoji="0" lang="es-PE" sz="1200" b="0" i="0" u="none" strike="noStrike" kern="0" cap="none" spc="0" normalizeH="0" baseline="0" noProof="0">
            <a:ln>
              <a:noFill/>
            </a:ln>
            <a:solidFill>
              <a:sysClr val="windowText" lastClr="000000"/>
            </a:solidFill>
            <a:effectLst/>
            <a:uLnTx/>
            <a:uFillTx/>
            <a:latin typeface="Century Gothic" panose="020B0502020202020204" pitchFamily="34" charset="0"/>
            <a:ea typeface="+mn-ea"/>
            <a:cs typeface="Arial" panose="020B0604020202020204" pitchFamily="34" charset="0"/>
          </a:endParaRPr>
        </a:p>
      </xdr:txBody>
    </xdr:sp>
    <xdr:clientData/>
  </xdr:twoCellAnchor>
  <xdr:twoCellAnchor>
    <xdr:from>
      <xdr:col>0</xdr:col>
      <xdr:colOff>238125</xdr:colOff>
      <xdr:row>39</xdr:row>
      <xdr:rowOff>102391</xdr:rowOff>
    </xdr:from>
    <xdr:to>
      <xdr:col>2</xdr:col>
      <xdr:colOff>381000</xdr:colOff>
      <xdr:row>43</xdr:row>
      <xdr:rowOff>73815</xdr:rowOff>
    </xdr:to>
    <xdr:sp macro="" textlink="">
      <xdr:nvSpPr>
        <xdr:cNvPr id="33" name="Rectangle 34">
          <a:extLst>
            <a:ext uri="{FF2B5EF4-FFF2-40B4-BE49-F238E27FC236}">
              <a16:creationId xmlns:a16="http://schemas.microsoft.com/office/drawing/2014/main" id="{00000000-0008-0000-0000-000021000000}"/>
            </a:ext>
          </a:extLst>
        </xdr:cNvPr>
        <xdr:cNvSpPr>
          <a:spLocks noChangeArrowheads="1"/>
        </xdr:cNvSpPr>
      </xdr:nvSpPr>
      <xdr:spPr bwMode="auto">
        <a:xfrm>
          <a:off x="238125" y="11568110"/>
          <a:ext cx="1845469" cy="1388268"/>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000">
              <a:effectLst/>
              <a:latin typeface="+mn-lt"/>
              <a:ea typeface="+mn-ea"/>
              <a:cs typeface="+mn-cs"/>
            </a:rPr>
            <a:t>% Avance de Proyecto</a:t>
          </a:r>
          <a:endParaRPr lang="es-PE" sz="1100" b="1" i="1" u="none" strike="noStrike" baseline="0">
            <a:solidFill>
              <a:srgbClr val="000000"/>
            </a:solidFill>
            <a:latin typeface="Century Gothic" panose="020B0502020202020204" pitchFamily="34" charset="0"/>
            <a:cs typeface="Arial"/>
          </a:endParaRPr>
        </a:p>
      </xdr:txBody>
    </xdr:sp>
    <xdr:clientData/>
  </xdr:twoCellAnchor>
  <xdr:twoCellAnchor>
    <xdr:from>
      <xdr:col>3</xdr:col>
      <xdr:colOff>81264</xdr:colOff>
      <xdr:row>34</xdr:row>
      <xdr:rowOff>163432</xdr:rowOff>
    </xdr:from>
    <xdr:to>
      <xdr:col>5</xdr:col>
      <xdr:colOff>321771</xdr:colOff>
      <xdr:row>37</xdr:row>
      <xdr:rowOff>130516</xdr:rowOff>
    </xdr:to>
    <xdr:sp macro="" textlink="">
      <xdr:nvSpPr>
        <xdr:cNvPr id="34" name="Rectangle 35">
          <a:extLst>
            <a:ext uri="{FF2B5EF4-FFF2-40B4-BE49-F238E27FC236}">
              <a16:creationId xmlns:a16="http://schemas.microsoft.com/office/drawing/2014/main" id="{00000000-0008-0000-0000-000022000000}"/>
            </a:ext>
          </a:extLst>
        </xdr:cNvPr>
        <xdr:cNvSpPr>
          <a:spLocks noChangeArrowheads="1"/>
        </xdr:cNvSpPr>
      </xdr:nvSpPr>
      <xdr:spPr bwMode="auto">
        <a:xfrm>
          <a:off x="2760170" y="10367088"/>
          <a:ext cx="1597820" cy="705272"/>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100" b="0" i="0" u="none" strike="noStrike" baseline="0">
              <a:solidFill>
                <a:srgbClr val="000000"/>
              </a:solidFill>
              <a:latin typeface="Century Gothic" panose="020B0502020202020204" pitchFamily="34" charset="0"/>
              <a:cs typeface="Arial"/>
            </a:rPr>
            <a:t>Factores referidos al Cliente</a:t>
          </a:r>
        </a:p>
      </xdr:txBody>
    </xdr:sp>
    <xdr:clientData/>
  </xdr:twoCellAnchor>
  <xdr:twoCellAnchor>
    <xdr:from>
      <xdr:col>3</xdr:col>
      <xdr:colOff>69358</xdr:colOff>
      <xdr:row>42</xdr:row>
      <xdr:rowOff>392906</xdr:rowOff>
    </xdr:from>
    <xdr:to>
      <xdr:col>5</xdr:col>
      <xdr:colOff>297958</xdr:colOff>
      <xdr:row>45</xdr:row>
      <xdr:rowOff>222206</xdr:rowOff>
    </xdr:to>
    <xdr:sp macro="" textlink="">
      <xdr:nvSpPr>
        <xdr:cNvPr id="35" name="Rectangle 36">
          <a:extLst>
            <a:ext uri="{FF2B5EF4-FFF2-40B4-BE49-F238E27FC236}">
              <a16:creationId xmlns:a16="http://schemas.microsoft.com/office/drawing/2014/main" id="{00000000-0008-0000-0000-000023000000}"/>
            </a:ext>
          </a:extLst>
        </xdr:cNvPr>
        <xdr:cNvSpPr>
          <a:spLocks noChangeArrowheads="1"/>
        </xdr:cNvSpPr>
      </xdr:nvSpPr>
      <xdr:spPr bwMode="auto">
        <a:xfrm>
          <a:off x="2748264" y="12775406"/>
          <a:ext cx="1585913" cy="769894"/>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100" b="0" i="0" u="none" strike="noStrike" baseline="0">
              <a:solidFill>
                <a:srgbClr val="000000"/>
              </a:solidFill>
              <a:latin typeface="Century Gothic" panose="020B0502020202020204" pitchFamily="34" charset="0"/>
              <a:cs typeface="Arial"/>
            </a:rPr>
            <a:t>Factores referidos a la operación</a:t>
          </a:r>
        </a:p>
      </xdr:txBody>
    </xdr:sp>
    <xdr:clientData/>
  </xdr:twoCellAnchor>
  <xdr:twoCellAnchor>
    <xdr:from>
      <xdr:col>6</xdr:col>
      <xdr:colOff>59833</xdr:colOff>
      <xdr:row>34</xdr:row>
      <xdr:rowOff>130969</xdr:rowOff>
    </xdr:from>
    <xdr:to>
      <xdr:col>8</xdr:col>
      <xdr:colOff>402733</xdr:colOff>
      <xdr:row>38</xdr:row>
      <xdr:rowOff>47626</xdr:rowOff>
    </xdr:to>
    <xdr:sp macro="" textlink="">
      <xdr:nvSpPr>
        <xdr:cNvPr id="36" name="Rectangle 37">
          <a:extLst>
            <a:ext uri="{FF2B5EF4-FFF2-40B4-BE49-F238E27FC236}">
              <a16:creationId xmlns:a16="http://schemas.microsoft.com/office/drawing/2014/main" id="{00000000-0008-0000-0000-000024000000}"/>
            </a:ext>
          </a:extLst>
        </xdr:cNvPr>
        <xdr:cNvSpPr>
          <a:spLocks noChangeArrowheads="1"/>
        </xdr:cNvSpPr>
      </xdr:nvSpPr>
      <xdr:spPr bwMode="auto">
        <a:xfrm>
          <a:off x="6453489" y="10334625"/>
          <a:ext cx="2819400" cy="821532"/>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l" rtl="0">
            <a:defRPr sz="1000"/>
          </a:pPr>
          <a:r>
            <a:rPr lang="es-PE" sz="1100" b="0" i="0" u="none" strike="noStrike" baseline="0">
              <a:solidFill>
                <a:srgbClr val="000000"/>
              </a:solidFill>
              <a:latin typeface="Century Gothic" panose="020B0502020202020204" pitchFamily="34" charset="0"/>
              <a:cs typeface="Arial"/>
            </a:rPr>
            <a:t>Comunicación oportuna con el cliente.</a:t>
          </a:r>
        </a:p>
        <a:p>
          <a:pPr algn="l" rtl="0">
            <a:defRPr sz="1000"/>
          </a:pPr>
          <a:r>
            <a:rPr lang="es-PE" sz="1100" b="0" i="0" u="none" strike="noStrike" baseline="0">
              <a:solidFill>
                <a:srgbClr val="000000"/>
              </a:solidFill>
              <a:latin typeface="Century Gothic" panose="020B0502020202020204" pitchFamily="34" charset="0"/>
              <a:cs typeface="Arial"/>
            </a:rPr>
            <a:t>Cambio en los requerimientos del cliente.</a:t>
          </a:r>
        </a:p>
        <a:p>
          <a:pPr algn="l" rtl="0">
            <a:defRPr sz="1000"/>
          </a:pPr>
          <a:r>
            <a:rPr lang="es-PE" sz="1100" b="0" i="0" u="none" strike="noStrike" baseline="0">
              <a:solidFill>
                <a:srgbClr val="000000"/>
              </a:solidFill>
              <a:latin typeface="Century Gothic" panose="020B0502020202020204" pitchFamily="34" charset="0"/>
              <a:cs typeface="Arial"/>
            </a:rPr>
            <a:t>Demora en la entrega de  materiales y/o equipos suministrados por el cliente. </a:t>
          </a:r>
        </a:p>
      </xdr:txBody>
    </xdr:sp>
    <xdr:clientData/>
  </xdr:twoCellAnchor>
  <xdr:twoCellAnchor>
    <xdr:from>
      <xdr:col>9</xdr:col>
      <xdr:colOff>71739</xdr:colOff>
      <xdr:row>34</xdr:row>
      <xdr:rowOff>152400</xdr:rowOff>
    </xdr:from>
    <xdr:to>
      <xdr:col>11</xdr:col>
      <xdr:colOff>414639</xdr:colOff>
      <xdr:row>38</xdr:row>
      <xdr:rowOff>11906</xdr:rowOff>
    </xdr:to>
    <xdr:sp macro="" textlink="">
      <xdr:nvSpPr>
        <xdr:cNvPr id="37" name="Rectangle 38">
          <a:extLst>
            <a:ext uri="{FF2B5EF4-FFF2-40B4-BE49-F238E27FC236}">
              <a16:creationId xmlns:a16="http://schemas.microsoft.com/office/drawing/2014/main" id="{00000000-0008-0000-0000-000025000000}"/>
            </a:ext>
          </a:extLst>
        </xdr:cNvPr>
        <xdr:cNvSpPr>
          <a:spLocks noChangeArrowheads="1"/>
        </xdr:cNvSpPr>
      </xdr:nvSpPr>
      <xdr:spPr bwMode="auto">
        <a:xfrm>
          <a:off x="10358739" y="10356056"/>
          <a:ext cx="2605088" cy="764381"/>
        </a:xfrm>
        <a:prstGeom prst="rect">
          <a:avLst/>
        </a:prstGeom>
        <a:solidFill>
          <a:srgbClr val="FFFFFF"/>
        </a:solidFill>
        <a:ln w="9525">
          <a:solidFill>
            <a:srgbClr val="000000"/>
          </a:solidFill>
          <a:prstDash val="dash"/>
          <a:miter lim="800000"/>
          <a:headEnd/>
          <a:tailEnd/>
        </a:ln>
      </xdr:spPr>
      <xdr:txBody>
        <a:bodyPr vertOverflow="clip" wrap="square" lIns="27432" tIns="22860" rIns="27432" bIns="22860" anchor="ctr" upright="1"/>
        <a:lstStyle/>
        <a:p>
          <a:pPr algn="ctr" rtl="0">
            <a:defRPr sz="1000"/>
          </a:pPr>
          <a:r>
            <a:rPr lang="es-PE" sz="1100" b="0" i="0" u="none" strike="noStrike" baseline="0">
              <a:solidFill>
                <a:srgbClr val="000000"/>
              </a:solidFill>
              <a:latin typeface="Century Gothic" panose="020B0502020202020204" pitchFamily="34" charset="0"/>
              <a:cs typeface="Arial"/>
            </a:rPr>
            <a:t>Jefe de Operaciones / Supervisor de Proyecto / Asistente Comercial</a:t>
          </a:r>
        </a:p>
      </xdr:txBody>
    </xdr:sp>
    <xdr:clientData/>
  </xdr:twoCellAnchor>
  <xdr:twoCellAnchor>
    <xdr:from>
      <xdr:col>6</xdr:col>
      <xdr:colOff>59833</xdr:colOff>
      <xdr:row>38</xdr:row>
      <xdr:rowOff>238274</xdr:rowOff>
    </xdr:from>
    <xdr:to>
      <xdr:col>8</xdr:col>
      <xdr:colOff>402733</xdr:colOff>
      <xdr:row>40</xdr:row>
      <xdr:rowOff>250936</xdr:rowOff>
    </xdr:to>
    <xdr:sp macro="" textlink="">
      <xdr:nvSpPr>
        <xdr:cNvPr id="38" name="Rectangle 39">
          <a:extLst>
            <a:ext uri="{FF2B5EF4-FFF2-40B4-BE49-F238E27FC236}">
              <a16:creationId xmlns:a16="http://schemas.microsoft.com/office/drawing/2014/main" id="{00000000-0008-0000-0000-000026000000}"/>
            </a:ext>
          </a:extLst>
        </xdr:cNvPr>
        <xdr:cNvSpPr>
          <a:spLocks noChangeArrowheads="1"/>
        </xdr:cNvSpPr>
      </xdr:nvSpPr>
      <xdr:spPr bwMode="auto">
        <a:xfrm>
          <a:off x="6453489" y="11346805"/>
          <a:ext cx="2819400" cy="7508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rtl="0"/>
          <a:r>
            <a:rPr lang="es-PE" sz="1100" b="0" i="0" baseline="0">
              <a:effectLst/>
              <a:latin typeface="Century Gothic" panose="020B0502020202020204" pitchFamily="34" charset="0"/>
              <a:ea typeface="+mn-ea"/>
              <a:cs typeface="Arial" panose="020B0604020202020204" pitchFamily="34" charset="0"/>
            </a:rPr>
            <a:t>Falta de proveedores en la zona.</a:t>
          </a:r>
          <a:endParaRPr lang="es-PE" sz="1100">
            <a:effectLst/>
            <a:latin typeface="Century Gothic" panose="020B0502020202020204" pitchFamily="34" charset="0"/>
            <a:cs typeface="Arial" panose="020B0604020202020204" pitchFamily="34" charset="0"/>
          </a:endParaRPr>
        </a:p>
        <a:p>
          <a:pPr rtl="0"/>
          <a:r>
            <a:rPr lang="es-PE" sz="1100" b="0" i="0" baseline="0">
              <a:effectLst/>
              <a:latin typeface="Century Gothic" panose="020B0502020202020204" pitchFamily="34" charset="0"/>
              <a:ea typeface="+mn-ea"/>
              <a:cs typeface="Arial" panose="020B0604020202020204" pitchFamily="34" charset="0"/>
            </a:rPr>
            <a:t>Demora en entrega oportuna de materiales.</a:t>
          </a:r>
        </a:p>
        <a:p>
          <a:pPr rtl="0"/>
          <a:r>
            <a:rPr lang="es-PE" sz="1100" b="0" i="0" baseline="0">
              <a:effectLst/>
              <a:latin typeface="Century Gothic" panose="020B0502020202020204" pitchFamily="34" charset="0"/>
              <a:ea typeface="+mn-ea"/>
              <a:cs typeface="Arial" panose="020B0604020202020204" pitchFamily="34" charset="0"/>
            </a:rPr>
            <a:t>Demora en la entrega de información técnica</a:t>
          </a:r>
          <a:endParaRPr lang="es-PE" sz="1100">
            <a:effectLst/>
            <a:latin typeface="Century Gothic" panose="020B0502020202020204" pitchFamily="34" charset="0"/>
            <a:cs typeface="Arial" panose="020B0604020202020204" pitchFamily="34" charset="0"/>
          </a:endParaRPr>
        </a:p>
        <a:p>
          <a:pPr rtl="0"/>
          <a:r>
            <a:rPr lang="es-PE" sz="1100" b="0" i="0" baseline="0">
              <a:effectLst/>
              <a:latin typeface="Century Gothic" panose="020B0502020202020204" pitchFamily="34" charset="0"/>
              <a:ea typeface="+mn-ea"/>
              <a:cs typeface="Arial" panose="020B0604020202020204" pitchFamily="34" charset="0"/>
            </a:rPr>
            <a:t>Calidad de los insumos y materiales.</a:t>
          </a:r>
          <a:endParaRPr lang="es-PE" sz="1100">
            <a:effectLst/>
            <a:latin typeface="Century Gothic" panose="020B0502020202020204" pitchFamily="34" charset="0"/>
            <a:cs typeface="Arial" panose="020B0604020202020204" pitchFamily="34" charset="0"/>
          </a:endParaRPr>
        </a:p>
      </xdr:txBody>
    </xdr:sp>
    <xdr:clientData/>
  </xdr:twoCellAnchor>
  <xdr:twoCellAnchor>
    <xdr:from>
      <xdr:col>9</xdr:col>
      <xdr:colOff>71739</xdr:colOff>
      <xdr:row>38</xdr:row>
      <xdr:rowOff>264319</xdr:rowOff>
    </xdr:from>
    <xdr:to>
      <xdr:col>11</xdr:col>
      <xdr:colOff>414639</xdr:colOff>
      <xdr:row>40</xdr:row>
      <xdr:rowOff>238276</xdr:rowOff>
    </xdr:to>
    <xdr:sp macro="" textlink="">
      <xdr:nvSpPr>
        <xdr:cNvPr id="39" name="Rectangle 40">
          <a:extLst>
            <a:ext uri="{FF2B5EF4-FFF2-40B4-BE49-F238E27FC236}">
              <a16:creationId xmlns:a16="http://schemas.microsoft.com/office/drawing/2014/main" id="{00000000-0008-0000-0000-000027000000}"/>
            </a:ext>
          </a:extLst>
        </xdr:cNvPr>
        <xdr:cNvSpPr>
          <a:spLocks noChangeArrowheads="1"/>
        </xdr:cNvSpPr>
      </xdr:nvSpPr>
      <xdr:spPr bwMode="auto">
        <a:xfrm>
          <a:off x="10358739" y="11372850"/>
          <a:ext cx="2605088" cy="712145"/>
        </a:xfrm>
        <a:prstGeom prst="rect">
          <a:avLst/>
        </a:prstGeom>
        <a:solidFill>
          <a:srgbClr val="FFFFFF"/>
        </a:solidFill>
        <a:ln w="9525">
          <a:solidFill>
            <a:srgbClr val="000000"/>
          </a:solidFill>
          <a:prstDash val="dash"/>
          <a:miter lim="800000"/>
          <a:headEnd/>
          <a:tailEnd/>
        </a:ln>
      </xdr:spPr>
      <xdr:txBody>
        <a:bodyPr vertOverflow="clip" wrap="square" lIns="27432" tIns="22860" rIns="27432" bIns="22860" anchor="ctr" upright="1"/>
        <a:lstStyle/>
        <a:p>
          <a:pPr algn="ctr" rtl="0">
            <a:defRPr sz="1000"/>
          </a:pPr>
          <a:r>
            <a:rPr lang="es-PE" sz="1100" b="0" i="0" u="none" strike="noStrike" baseline="0">
              <a:solidFill>
                <a:srgbClr val="000000"/>
              </a:solidFill>
              <a:latin typeface="Century Gothic" panose="020B0502020202020204" pitchFamily="34" charset="0"/>
              <a:cs typeface="Arial"/>
            </a:rPr>
            <a:t>Jefe de Diseño / Jefe de Abastecimiento Logístico</a:t>
          </a:r>
        </a:p>
      </xdr:txBody>
    </xdr:sp>
    <xdr:clientData/>
  </xdr:twoCellAnchor>
  <xdr:twoCellAnchor>
    <xdr:from>
      <xdr:col>6</xdr:col>
      <xdr:colOff>71739</xdr:colOff>
      <xdr:row>41</xdr:row>
      <xdr:rowOff>119063</xdr:rowOff>
    </xdr:from>
    <xdr:to>
      <xdr:col>8</xdr:col>
      <xdr:colOff>414639</xdr:colOff>
      <xdr:row>43</xdr:row>
      <xdr:rowOff>192456</xdr:rowOff>
    </xdr:to>
    <xdr:sp macro="" textlink="">
      <xdr:nvSpPr>
        <xdr:cNvPr id="40" name="Rectangle 41">
          <a:extLst>
            <a:ext uri="{FF2B5EF4-FFF2-40B4-BE49-F238E27FC236}">
              <a16:creationId xmlns:a16="http://schemas.microsoft.com/office/drawing/2014/main" id="{00000000-0008-0000-0000-000028000000}"/>
            </a:ext>
          </a:extLst>
        </xdr:cNvPr>
        <xdr:cNvSpPr>
          <a:spLocks noChangeArrowheads="1"/>
        </xdr:cNvSpPr>
      </xdr:nvSpPr>
      <xdr:spPr bwMode="auto">
        <a:xfrm>
          <a:off x="6465395" y="12311063"/>
          <a:ext cx="2819400" cy="763956"/>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l" rtl="0">
            <a:defRPr sz="1000"/>
          </a:pPr>
          <a:r>
            <a:rPr lang="es-PE" sz="1100" b="0" i="0" u="none" strike="noStrike" baseline="0">
              <a:solidFill>
                <a:srgbClr val="000000"/>
              </a:solidFill>
              <a:latin typeface="Century Gothic" panose="020B0502020202020204" pitchFamily="34" charset="0"/>
              <a:cs typeface="Arial"/>
            </a:rPr>
            <a:t>Personal calificado.</a:t>
          </a:r>
        </a:p>
        <a:p>
          <a:pPr algn="l" rtl="0">
            <a:defRPr sz="1000"/>
          </a:pPr>
          <a:r>
            <a:rPr lang="es-PE" sz="1100" b="0" i="0" u="none" strike="noStrike" baseline="0">
              <a:solidFill>
                <a:srgbClr val="000000"/>
              </a:solidFill>
              <a:latin typeface="Century Gothic" panose="020B0502020202020204" pitchFamily="34" charset="0"/>
              <a:cs typeface="Arial"/>
            </a:rPr>
            <a:t>Reprocesos.</a:t>
          </a:r>
        </a:p>
        <a:p>
          <a:pPr algn="l" rtl="0">
            <a:defRPr sz="1000"/>
          </a:pPr>
          <a:r>
            <a:rPr lang="es-PE" sz="1100" b="0" i="0" u="none" strike="noStrike" baseline="0">
              <a:solidFill>
                <a:srgbClr val="000000"/>
              </a:solidFill>
              <a:latin typeface="Century Gothic" panose="020B0502020202020204" pitchFamily="34" charset="0"/>
              <a:cs typeface="Arial"/>
            </a:rPr>
            <a:t>Planificación, supervisión y coordinación de trabajos.</a:t>
          </a:r>
        </a:p>
      </xdr:txBody>
    </xdr:sp>
    <xdr:clientData/>
  </xdr:twoCellAnchor>
  <xdr:twoCellAnchor>
    <xdr:from>
      <xdr:col>6</xdr:col>
      <xdr:colOff>71739</xdr:colOff>
      <xdr:row>44</xdr:row>
      <xdr:rowOff>107157</xdr:rowOff>
    </xdr:from>
    <xdr:to>
      <xdr:col>8</xdr:col>
      <xdr:colOff>414639</xdr:colOff>
      <xdr:row>47</xdr:row>
      <xdr:rowOff>35719</xdr:rowOff>
    </xdr:to>
    <xdr:sp macro="" textlink="">
      <xdr:nvSpPr>
        <xdr:cNvPr id="41" name="Rectangle 42">
          <a:extLst>
            <a:ext uri="{FF2B5EF4-FFF2-40B4-BE49-F238E27FC236}">
              <a16:creationId xmlns:a16="http://schemas.microsoft.com/office/drawing/2014/main" id="{00000000-0008-0000-0000-000029000000}"/>
            </a:ext>
          </a:extLst>
        </xdr:cNvPr>
        <xdr:cNvSpPr>
          <a:spLocks noChangeArrowheads="1"/>
        </xdr:cNvSpPr>
      </xdr:nvSpPr>
      <xdr:spPr bwMode="auto">
        <a:xfrm>
          <a:off x="6465395" y="13263563"/>
          <a:ext cx="2819400" cy="6667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l" rtl="0">
            <a:defRPr sz="1000"/>
          </a:pPr>
          <a:r>
            <a:rPr lang="es-PE" sz="1100" b="0" i="0" u="none" strike="noStrike" baseline="0">
              <a:solidFill>
                <a:srgbClr val="000000"/>
              </a:solidFill>
              <a:latin typeface="Century Gothic" panose="020B0502020202020204" pitchFamily="34" charset="0"/>
              <a:cs typeface="Arial"/>
            </a:rPr>
            <a:t>Factores climáticos (cierre de puerto, lluvias y otros)</a:t>
          </a:r>
        </a:p>
      </xdr:txBody>
    </xdr:sp>
    <xdr:clientData/>
  </xdr:twoCellAnchor>
  <xdr:twoCellAnchor>
    <xdr:from>
      <xdr:col>9</xdr:col>
      <xdr:colOff>71739</xdr:colOff>
      <xdr:row>45</xdr:row>
      <xdr:rowOff>8648</xdr:rowOff>
    </xdr:from>
    <xdr:to>
      <xdr:col>11</xdr:col>
      <xdr:colOff>414639</xdr:colOff>
      <xdr:row>47</xdr:row>
      <xdr:rowOff>35719</xdr:rowOff>
    </xdr:to>
    <xdr:sp macro="" textlink="">
      <xdr:nvSpPr>
        <xdr:cNvPr id="42" name="Rectangle 43">
          <a:extLst>
            <a:ext uri="{FF2B5EF4-FFF2-40B4-BE49-F238E27FC236}">
              <a16:creationId xmlns:a16="http://schemas.microsoft.com/office/drawing/2014/main" id="{00000000-0008-0000-0000-00002A000000}"/>
            </a:ext>
          </a:extLst>
        </xdr:cNvPr>
        <xdr:cNvSpPr>
          <a:spLocks noChangeArrowheads="1"/>
        </xdr:cNvSpPr>
      </xdr:nvSpPr>
      <xdr:spPr bwMode="auto">
        <a:xfrm>
          <a:off x="10358739" y="13331742"/>
          <a:ext cx="2605088" cy="598571"/>
        </a:xfrm>
        <a:prstGeom prst="rect">
          <a:avLst/>
        </a:prstGeom>
        <a:solidFill>
          <a:srgbClr val="FFFFFF"/>
        </a:solidFill>
        <a:ln w="9525">
          <a:solidFill>
            <a:srgbClr val="000000"/>
          </a:solidFill>
          <a:prstDash val="dash"/>
          <a:miter lim="800000"/>
          <a:headEnd/>
          <a:tailEnd/>
        </a:ln>
      </xdr:spPr>
      <xdr:txBody>
        <a:bodyPr vertOverflow="clip" wrap="square" lIns="27432" tIns="22860" rIns="27432" bIns="2286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s-PE" sz="1100" b="0" i="0" baseline="0">
              <a:effectLst/>
              <a:latin typeface="Century Gothic" panose="020B0502020202020204" pitchFamily="34" charset="0"/>
              <a:ea typeface="+mn-ea"/>
              <a:cs typeface="Arial" panose="020B0604020202020204" pitchFamily="34" charset="0"/>
            </a:rPr>
            <a:t>Jefe de Operaciones / Supervisor de Proyectos</a:t>
          </a:r>
          <a:endParaRPr lang="es-PE" sz="1100">
            <a:effectLst/>
            <a:latin typeface="Century Gothic" panose="020B0502020202020204" pitchFamily="34" charset="0"/>
            <a:cs typeface="Arial" panose="020B0604020202020204" pitchFamily="34" charset="0"/>
          </a:endParaRPr>
        </a:p>
        <a:p>
          <a:pPr algn="ctr" rtl="0">
            <a:defRPr sz="1000"/>
          </a:pPr>
          <a:endParaRPr lang="es-PE" sz="1100" b="0" i="0" u="none" strike="noStrike" baseline="0">
            <a:solidFill>
              <a:srgbClr val="000000"/>
            </a:solidFill>
            <a:latin typeface="Century Gothic" panose="020B0502020202020204" pitchFamily="34" charset="0"/>
            <a:cs typeface="Arial"/>
          </a:endParaRPr>
        </a:p>
      </xdr:txBody>
    </xdr:sp>
    <xdr:clientData/>
  </xdr:twoCellAnchor>
  <xdr:twoCellAnchor>
    <xdr:from>
      <xdr:col>9</xdr:col>
      <xdr:colOff>71739</xdr:colOff>
      <xdr:row>42</xdr:row>
      <xdr:rowOff>1957</xdr:rowOff>
    </xdr:from>
    <xdr:to>
      <xdr:col>11</xdr:col>
      <xdr:colOff>414639</xdr:colOff>
      <xdr:row>44</xdr:row>
      <xdr:rowOff>35719</xdr:rowOff>
    </xdr:to>
    <xdr:sp macro="" textlink="">
      <xdr:nvSpPr>
        <xdr:cNvPr id="43" name="Rectangle 44">
          <a:extLst>
            <a:ext uri="{FF2B5EF4-FFF2-40B4-BE49-F238E27FC236}">
              <a16:creationId xmlns:a16="http://schemas.microsoft.com/office/drawing/2014/main" id="{00000000-0008-0000-0000-00002B000000}"/>
            </a:ext>
          </a:extLst>
        </xdr:cNvPr>
        <xdr:cNvSpPr>
          <a:spLocks noChangeArrowheads="1"/>
        </xdr:cNvSpPr>
      </xdr:nvSpPr>
      <xdr:spPr bwMode="auto">
        <a:xfrm>
          <a:off x="10358739" y="12384457"/>
          <a:ext cx="2605088" cy="807668"/>
        </a:xfrm>
        <a:prstGeom prst="rect">
          <a:avLst/>
        </a:prstGeom>
        <a:solidFill>
          <a:srgbClr val="FFFFFF"/>
        </a:solidFill>
        <a:ln w="9525">
          <a:solidFill>
            <a:srgbClr val="000000"/>
          </a:solidFill>
          <a:prstDash val="dash"/>
          <a:miter lim="800000"/>
          <a:headEnd/>
          <a:tailEnd/>
        </a:ln>
      </xdr:spPr>
      <xdr:txBody>
        <a:bodyPr vertOverflow="clip" wrap="square" lIns="27432" tIns="22860" rIns="27432" bIns="22860" anchor="ctr" upright="1"/>
        <a:lstStyle/>
        <a:p>
          <a:pPr algn="ctr" rtl="0">
            <a:defRPr sz="1000"/>
          </a:pPr>
          <a:r>
            <a:rPr lang="es-PE" sz="1100" b="0" i="0" u="none" strike="noStrike" baseline="0">
              <a:solidFill>
                <a:srgbClr val="000000"/>
              </a:solidFill>
              <a:latin typeface="Century Gothic" panose="020B0502020202020204" pitchFamily="34" charset="0"/>
              <a:cs typeface="Arial"/>
            </a:rPr>
            <a:t>Jefe de Operaciones / Supervisor de Proyectos / Jefe de logística de servicios / Jefe de Mantto y control de calidad</a:t>
          </a:r>
        </a:p>
      </xdr:txBody>
    </xdr:sp>
    <xdr:clientData/>
  </xdr:twoCellAnchor>
  <xdr:twoCellAnchor>
    <xdr:from>
      <xdr:col>3</xdr:col>
      <xdr:colOff>83646</xdr:colOff>
      <xdr:row>38</xdr:row>
      <xdr:rowOff>238125</xdr:rowOff>
    </xdr:from>
    <xdr:to>
      <xdr:col>5</xdr:col>
      <xdr:colOff>312246</xdr:colOff>
      <xdr:row>40</xdr:row>
      <xdr:rowOff>205209</xdr:rowOff>
    </xdr:to>
    <xdr:sp macro="" textlink="">
      <xdr:nvSpPr>
        <xdr:cNvPr id="44" name="Rectangle 35">
          <a:extLst>
            <a:ext uri="{FF2B5EF4-FFF2-40B4-BE49-F238E27FC236}">
              <a16:creationId xmlns:a16="http://schemas.microsoft.com/office/drawing/2014/main" id="{00000000-0008-0000-0000-00002C000000}"/>
            </a:ext>
          </a:extLst>
        </xdr:cNvPr>
        <xdr:cNvSpPr>
          <a:spLocks noChangeArrowheads="1"/>
        </xdr:cNvSpPr>
      </xdr:nvSpPr>
      <xdr:spPr bwMode="auto">
        <a:xfrm>
          <a:off x="2762552" y="11346656"/>
          <a:ext cx="1585913" cy="705272"/>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s-PE" sz="1100" b="0" i="0" u="none" strike="noStrike" baseline="0">
              <a:solidFill>
                <a:srgbClr val="000000"/>
              </a:solidFill>
              <a:latin typeface="Century Gothic" panose="020B0502020202020204" pitchFamily="34" charset="0"/>
              <a:cs typeface="Arial"/>
            </a:rPr>
            <a:t>Factores referido a insumos</a:t>
          </a:r>
        </a:p>
      </xdr:txBody>
    </xdr:sp>
    <xdr:clientData/>
  </xdr:twoCellAnchor>
  <xdr:twoCellAnchor>
    <xdr:from>
      <xdr:col>5</xdr:col>
      <xdr:colOff>297958</xdr:colOff>
      <xdr:row>44</xdr:row>
      <xdr:rowOff>75384</xdr:rowOff>
    </xdr:from>
    <xdr:to>
      <xdr:col>6</xdr:col>
      <xdr:colOff>71739</xdr:colOff>
      <xdr:row>46</xdr:row>
      <xdr:rowOff>83345</xdr:rowOff>
    </xdr:to>
    <xdr:cxnSp macro="">
      <xdr:nvCxnSpPr>
        <xdr:cNvPr id="45" name="AutoShape 53">
          <a:extLst>
            <a:ext uri="{FF2B5EF4-FFF2-40B4-BE49-F238E27FC236}">
              <a16:creationId xmlns:a16="http://schemas.microsoft.com/office/drawing/2014/main" id="{00000000-0008-0000-0000-00002D000000}"/>
            </a:ext>
          </a:extLst>
        </xdr:cNvPr>
        <xdr:cNvCxnSpPr>
          <a:cxnSpLocks noChangeShapeType="1"/>
        </xdr:cNvCxnSpPr>
      </xdr:nvCxnSpPr>
      <xdr:spPr bwMode="auto">
        <a:xfrm rot="10800000">
          <a:off x="4334177" y="13231790"/>
          <a:ext cx="2131218" cy="436586"/>
        </a:xfrm>
        <a:prstGeom prst="bentConnector3">
          <a:avLst>
            <a:gd name="adj1" fmla="val 50000"/>
          </a:avLst>
        </a:prstGeom>
        <a:noFill/>
        <a:ln w="9525">
          <a:solidFill>
            <a:srgbClr val="000000"/>
          </a:solidFill>
          <a:miter lim="800000"/>
          <a:headEnd/>
          <a:tailEnd/>
        </a:ln>
      </xdr:spPr>
    </xdr:cxnSp>
    <xdr:clientData/>
  </xdr:twoCellAnchor>
  <xdr:twoCellAnchor>
    <xdr:from>
      <xdr:col>5</xdr:col>
      <xdr:colOff>297958</xdr:colOff>
      <xdr:row>42</xdr:row>
      <xdr:rowOff>381978</xdr:rowOff>
    </xdr:from>
    <xdr:to>
      <xdr:col>6</xdr:col>
      <xdr:colOff>71739</xdr:colOff>
      <xdr:row>44</xdr:row>
      <xdr:rowOff>75382</xdr:rowOff>
    </xdr:to>
    <xdr:cxnSp macro="">
      <xdr:nvCxnSpPr>
        <xdr:cNvPr id="46" name="AutoShape 54">
          <a:extLst>
            <a:ext uri="{FF2B5EF4-FFF2-40B4-BE49-F238E27FC236}">
              <a16:creationId xmlns:a16="http://schemas.microsoft.com/office/drawing/2014/main" id="{00000000-0008-0000-0000-00002E000000}"/>
            </a:ext>
          </a:extLst>
        </xdr:cNvPr>
        <xdr:cNvCxnSpPr>
          <a:cxnSpLocks noChangeShapeType="1"/>
        </xdr:cNvCxnSpPr>
      </xdr:nvCxnSpPr>
      <xdr:spPr bwMode="auto">
        <a:xfrm rot="10800000" flipV="1">
          <a:off x="4334177" y="12764478"/>
          <a:ext cx="2131218" cy="467310"/>
        </a:xfrm>
        <a:prstGeom prst="bentConnector3">
          <a:avLst>
            <a:gd name="adj1" fmla="val 50000"/>
          </a:avLst>
        </a:prstGeom>
        <a:noFill/>
        <a:ln w="9525">
          <a:solidFill>
            <a:srgbClr val="000000"/>
          </a:solidFill>
          <a:miter lim="800000"/>
          <a:headEnd/>
          <a:tailEnd/>
        </a:ln>
      </xdr:spPr>
    </xdr:cxnSp>
    <xdr:clientData/>
  </xdr:twoCellAnchor>
  <xdr:twoCellAnchor>
    <xdr:from>
      <xdr:col>2</xdr:col>
      <xdr:colOff>381000</xdr:colOff>
      <xdr:row>41</xdr:row>
      <xdr:rowOff>141682</xdr:rowOff>
    </xdr:from>
    <xdr:to>
      <xdr:col>3</xdr:col>
      <xdr:colOff>69358</xdr:colOff>
      <xdr:row>44</xdr:row>
      <xdr:rowOff>75383</xdr:rowOff>
    </xdr:to>
    <xdr:cxnSp macro="">
      <xdr:nvCxnSpPr>
        <xdr:cNvPr id="47" name="AutoShape 55">
          <a:extLst>
            <a:ext uri="{FF2B5EF4-FFF2-40B4-BE49-F238E27FC236}">
              <a16:creationId xmlns:a16="http://schemas.microsoft.com/office/drawing/2014/main" id="{00000000-0008-0000-0000-00002F000000}"/>
            </a:ext>
          </a:extLst>
        </xdr:cNvPr>
        <xdr:cNvCxnSpPr>
          <a:cxnSpLocks noChangeShapeType="1"/>
        </xdr:cNvCxnSpPr>
      </xdr:nvCxnSpPr>
      <xdr:spPr bwMode="auto">
        <a:xfrm rot="10800000">
          <a:off x="2083594" y="12333682"/>
          <a:ext cx="664670" cy="898107"/>
        </a:xfrm>
        <a:prstGeom prst="bentConnector3">
          <a:avLst>
            <a:gd name="adj1" fmla="val 50000"/>
          </a:avLst>
        </a:prstGeom>
        <a:noFill/>
        <a:ln w="9525">
          <a:solidFill>
            <a:srgbClr val="000000"/>
          </a:solidFill>
          <a:miter lim="800000"/>
          <a:headEnd/>
          <a:tailEnd/>
        </a:ln>
      </xdr:spPr>
    </xdr:cxnSp>
    <xdr:clientData/>
  </xdr:twoCellAnchor>
  <xdr:twoCellAnchor>
    <xdr:from>
      <xdr:col>2</xdr:col>
      <xdr:colOff>381000</xdr:colOff>
      <xdr:row>36</xdr:row>
      <xdr:rowOff>158879</xdr:rowOff>
    </xdr:from>
    <xdr:to>
      <xdr:col>3</xdr:col>
      <xdr:colOff>81264</xdr:colOff>
      <xdr:row>41</xdr:row>
      <xdr:rowOff>141681</xdr:rowOff>
    </xdr:to>
    <xdr:cxnSp macro="">
      <xdr:nvCxnSpPr>
        <xdr:cNvPr id="48" name="AutoShape 55">
          <a:extLst>
            <a:ext uri="{FF2B5EF4-FFF2-40B4-BE49-F238E27FC236}">
              <a16:creationId xmlns:a16="http://schemas.microsoft.com/office/drawing/2014/main" id="{00000000-0008-0000-0000-000030000000}"/>
            </a:ext>
          </a:extLst>
        </xdr:cNvPr>
        <xdr:cNvCxnSpPr>
          <a:cxnSpLocks noChangeShapeType="1"/>
        </xdr:cNvCxnSpPr>
      </xdr:nvCxnSpPr>
      <xdr:spPr bwMode="auto">
        <a:xfrm rot="10800000" flipV="1">
          <a:off x="2083594" y="10791160"/>
          <a:ext cx="676576" cy="1542521"/>
        </a:xfrm>
        <a:prstGeom prst="bentConnector3">
          <a:avLst>
            <a:gd name="adj1" fmla="val 50000"/>
          </a:avLst>
        </a:prstGeom>
        <a:noFill/>
        <a:ln w="9525">
          <a:solidFill>
            <a:srgbClr val="000000"/>
          </a:solidFill>
          <a:miter lim="800000"/>
          <a:headEnd/>
          <a:tailEnd/>
        </a:ln>
      </xdr:spPr>
    </xdr:cxnSp>
    <xdr:clientData/>
  </xdr:twoCellAnchor>
  <xdr:twoCellAnchor>
    <xdr:from>
      <xdr:col>5</xdr:col>
      <xdr:colOff>333677</xdr:colOff>
      <xdr:row>39</xdr:row>
      <xdr:rowOff>321468</xdr:rowOff>
    </xdr:from>
    <xdr:to>
      <xdr:col>6</xdr:col>
      <xdr:colOff>59833</xdr:colOff>
      <xdr:row>39</xdr:row>
      <xdr:rowOff>327948</xdr:rowOff>
    </xdr:to>
    <xdr:cxnSp macro="">
      <xdr:nvCxnSpPr>
        <xdr:cNvPr id="70" name="52 Conector recto">
          <a:extLst>
            <a:ext uri="{FF2B5EF4-FFF2-40B4-BE49-F238E27FC236}">
              <a16:creationId xmlns:a16="http://schemas.microsoft.com/office/drawing/2014/main" id="{00000000-0008-0000-0000-000046000000}"/>
            </a:ext>
          </a:extLst>
        </xdr:cNvPr>
        <xdr:cNvCxnSpPr/>
      </xdr:nvCxnSpPr>
      <xdr:spPr>
        <a:xfrm>
          <a:off x="4369896" y="11787187"/>
          <a:ext cx="2083593" cy="648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333676</xdr:colOff>
      <xdr:row>36</xdr:row>
      <xdr:rowOff>142875</xdr:rowOff>
    </xdr:from>
    <xdr:to>
      <xdr:col>6</xdr:col>
      <xdr:colOff>59832</xdr:colOff>
      <xdr:row>36</xdr:row>
      <xdr:rowOff>149355</xdr:rowOff>
    </xdr:to>
    <xdr:cxnSp macro="">
      <xdr:nvCxnSpPr>
        <xdr:cNvPr id="71" name="71 Conector recto">
          <a:extLst>
            <a:ext uri="{FF2B5EF4-FFF2-40B4-BE49-F238E27FC236}">
              <a16:creationId xmlns:a16="http://schemas.microsoft.com/office/drawing/2014/main" id="{00000000-0008-0000-0000-000047000000}"/>
            </a:ext>
          </a:extLst>
        </xdr:cNvPr>
        <xdr:cNvCxnSpPr/>
      </xdr:nvCxnSpPr>
      <xdr:spPr>
        <a:xfrm>
          <a:off x="4369895" y="10775156"/>
          <a:ext cx="2083593" cy="648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0</xdr:row>
      <xdr:rowOff>42334</xdr:rowOff>
    </xdr:from>
    <xdr:to>
      <xdr:col>1</xdr:col>
      <xdr:colOff>878417</xdr:colOff>
      <xdr:row>0</xdr:row>
      <xdr:rowOff>656168</xdr:rowOff>
    </xdr:to>
    <xdr:pic>
      <xdr:nvPicPr>
        <xdr:cNvPr id="5" name="Picture 1">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500" y="42334"/>
          <a:ext cx="910167" cy="613834"/>
        </a:xfrm>
        <a:prstGeom prst="rect">
          <a:avLst/>
        </a:prstGeom>
        <a:noFill/>
        <a:ln w="9525">
          <a:noFill/>
          <a:miter lim="800000"/>
          <a:headEnd/>
          <a:tailEnd/>
        </a:ln>
      </xdr:spPr>
    </xdr:pic>
    <xdr:clientData/>
  </xdr:twoCellAnchor>
  <xdr:twoCellAnchor editAs="oneCell">
    <xdr:from>
      <xdr:col>7</xdr:col>
      <xdr:colOff>357189</xdr:colOff>
      <xdr:row>54</xdr:row>
      <xdr:rowOff>154782</xdr:rowOff>
    </xdr:from>
    <xdr:to>
      <xdr:col>8</xdr:col>
      <xdr:colOff>247652</xdr:colOff>
      <xdr:row>55</xdr:row>
      <xdr:rowOff>57150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81627" y="14216063"/>
          <a:ext cx="771525" cy="223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23813</xdr:colOff>
      <xdr:row>15</xdr:row>
      <xdr:rowOff>140492</xdr:rowOff>
    </xdr:from>
    <xdr:to>
      <xdr:col>14</xdr:col>
      <xdr:colOff>1119187</xdr:colOff>
      <xdr:row>36</xdr:row>
      <xdr:rowOff>23812</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128512</xdr:colOff>
      <xdr:row>3</xdr:row>
      <xdr:rowOff>75596</xdr:rowOff>
    </xdr:from>
    <xdr:to>
      <xdr:col>9</xdr:col>
      <xdr:colOff>15875</xdr:colOff>
      <xdr:row>3</xdr:row>
      <xdr:rowOff>587565</xdr:rowOff>
    </xdr:to>
    <xdr:sp macro="" textlink="">
      <xdr:nvSpPr>
        <xdr:cNvPr id="6" name="Rectangle 1">
          <a:extLst>
            <a:ext uri="{FF2B5EF4-FFF2-40B4-BE49-F238E27FC236}">
              <a16:creationId xmlns:a16="http://schemas.microsoft.com/office/drawing/2014/main" id="{00000000-0008-0000-0100-000006000000}"/>
            </a:ext>
          </a:extLst>
        </xdr:cNvPr>
        <xdr:cNvSpPr>
          <a:spLocks noChangeArrowheads="1"/>
        </xdr:cNvSpPr>
      </xdr:nvSpPr>
      <xdr:spPr bwMode="auto">
        <a:xfrm>
          <a:off x="3009825" y="1583721"/>
          <a:ext cx="4118050" cy="511969"/>
        </a:xfrm>
        <a:prstGeom prst="rect">
          <a:avLst/>
        </a:prstGeom>
        <a:solidFill>
          <a:srgbClr val="FFFFFF"/>
        </a:solidFill>
        <a:ln w="9525">
          <a:solidFill>
            <a:schemeClr val="bg1"/>
          </a:solidFill>
          <a:miter lim="800000"/>
          <a:headEnd/>
          <a:tailEnd/>
        </a:ln>
      </xdr:spPr>
      <xdr:txBody>
        <a:bodyPr vertOverflow="clip" wrap="square" lIns="27432" tIns="22860" rIns="0" bIns="22860" anchor="ctr" upright="1"/>
        <a:lstStyle/>
        <a:p>
          <a:pPr rtl="0" eaLnBrk="1" fontAlgn="auto" latinLnBrk="0" hangingPunct="1"/>
          <a:r>
            <a:rPr lang="en-US" sz="1400" b="0" i="0" baseline="0">
              <a:effectLst/>
              <a:latin typeface="+mn-lt"/>
              <a:ea typeface="+mn-ea"/>
              <a:cs typeface="+mn-cs"/>
            </a:rPr>
            <a:t>PROMEDIO= </a:t>
          </a:r>
          <a:r>
            <a:rPr lang="en-US" sz="1400" b="0" i="0" u="sng" baseline="0">
              <a:effectLst/>
              <a:latin typeface="+mn-lt"/>
              <a:ea typeface="+mn-ea"/>
              <a:cs typeface="+mn-cs"/>
            </a:rPr>
            <a:t>% de avance programado)    </a:t>
          </a:r>
          <a:r>
            <a:rPr lang="en-US" sz="1400" b="0" i="0" baseline="0">
              <a:effectLst/>
              <a:latin typeface="+mn-lt"/>
              <a:ea typeface="+mn-ea"/>
              <a:cs typeface="+mn-cs"/>
            </a:rPr>
            <a:t>x 100  </a:t>
          </a:r>
          <a:endParaRPr lang="es-PE" sz="1400">
            <a:effectLst/>
            <a:latin typeface="+mn-lt"/>
          </a:endParaRPr>
        </a:p>
        <a:p>
          <a:pPr rtl="0" eaLnBrk="1" fontAlgn="auto" latinLnBrk="0" hangingPunct="1"/>
          <a:r>
            <a:rPr lang="en-US" sz="1400" b="0" i="0" baseline="0">
              <a:effectLst/>
              <a:latin typeface="+mn-lt"/>
              <a:ea typeface="+mn-ea"/>
              <a:cs typeface="+mn-cs"/>
            </a:rPr>
            <a:t>                                   % de avance real</a:t>
          </a:r>
          <a:endParaRPr lang="es-PE" sz="1400">
            <a:effectLst/>
            <a:latin typeface="+mn-lt"/>
          </a:endParaRPr>
        </a:p>
      </xdr:txBody>
    </xdr:sp>
    <xdr:clientData/>
  </xdr:twoCellAnchor>
  <xdr:twoCellAnchor editAs="oneCell">
    <xdr:from>
      <xdr:col>7</xdr:col>
      <xdr:colOff>357189</xdr:colOff>
      <xdr:row>54</xdr:row>
      <xdr:rowOff>154782</xdr:rowOff>
    </xdr:from>
    <xdr:to>
      <xdr:col>8</xdr:col>
      <xdr:colOff>247652</xdr:colOff>
      <xdr:row>55</xdr:row>
      <xdr:rowOff>57150</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43539" y="15585282"/>
          <a:ext cx="817563" cy="226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45356</xdr:rowOff>
    </xdr:from>
    <xdr:to>
      <xdr:col>2</xdr:col>
      <xdr:colOff>313383</xdr:colOff>
      <xdr:row>2</xdr:row>
      <xdr:rowOff>179916</xdr:rowOff>
    </xdr:to>
    <xdr:pic>
      <xdr:nvPicPr>
        <xdr:cNvPr id="2" name="5 Imagen" descr="Logo TASA - Horizontal">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356"/>
          <a:ext cx="1816216" cy="663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28</xdr:row>
      <xdr:rowOff>166688</xdr:rowOff>
    </xdr:from>
    <xdr:to>
      <xdr:col>2</xdr:col>
      <xdr:colOff>750094</xdr:colOff>
      <xdr:row>30</xdr:row>
      <xdr:rowOff>284885</xdr:rowOff>
    </xdr:to>
    <xdr:pic>
      <xdr:nvPicPr>
        <xdr:cNvPr id="3" name="Imagen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400" y="5957888"/>
          <a:ext cx="1975644" cy="886547"/>
        </a:xfrm>
        <a:prstGeom prst="rect">
          <a:avLst/>
        </a:prstGeom>
        <a:noFill/>
        <a:ln>
          <a:noFill/>
        </a:ln>
      </xdr:spPr>
    </xdr:pic>
    <xdr:clientData/>
  </xdr:twoCellAnchor>
  <xdr:twoCellAnchor>
    <xdr:from>
      <xdr:col>18</xdr:col>
      <xdr:colOff>740833</xdr:colOff>
      <xdr:row>6</xdr:row>
      <xdr:rowOff>158750</xdr:rowOff>
    </xdr:from>
    <xdr:to>
      <xdr:col>22</xdr:col>
      <xdr:colOff>540883</xdr:colOff>
      <xdr:row>6</xdr:row>
      <xdr:rowOff>670719</xdr:rowOff>
    </xdr:to>
    <xdr:sp macro="" textlink="">
      <xdr:nvSpPr>
        <xdr:cNvPr id="4" name="Rectangle 1">
          <a:extLst>
            <a:ext uri="{FF2B5EF4-FFF2-40B4-BE49-F238E27FC236}">
              <a16:creationId xmlns:a16="http://schemas.microsoft.com/office/drawing/2014/main" id="{F0042948-19F4-4281-86CB-E8C6E3E7F568}"/>
            </a:ext>
          </a:extLst>
        </xdr:cNvPr>
        <xdr:cNvSpPr>
          <a:spLocks noChangeArrowheads="1"/>
        </xdr:cNvSpPr>
      </xdr:nvSpPr>
      <xdr:spPr bwMode="auto">
        <a:xfrm>
          <a:off x="13377333" y="1502833"/>
          <a:ext cx="4118050" cy="511969"/>
        </a:xfrm>
        <a:prstGeom prst="rect">
          <a:avLst/>
        </a:prstGeom>
        <a:solidFill>
          <a:srgbClr val="FFFFFF"/>
        </a:solidFill>
        <a:ln w="9525">
          <a:solidFill>
            <a:schemeClr val="bg1"/>
          </a:solidFill>
          <a:miter lim="800000"/>
          <a:headEnd/>
          <a:tailEnd/>
        </a:ln>
      </xdr:spPr>
      <xdr:txBody>
        <a:bodyPr vertOverflow="clip" wrap="square" lIns="27432" tIns="22860" rIns="0" bIns="22860" anchor="ctr" upright="1"/>
        <a:lstStyle/>
        <a:p>
          <a:pPr rtl="0" eaLnBrk="1" fontAlgn="auto" latinLnBrk="0" hangingPunct="1"/>
          <a:r>
            <a:rPr lang="en-US" sz="1400" b="0" i="0" baseline="0">
              <a:effectLst/>
              <a:latin typeface="+mn-lt"/>
              <a:ea typeface="+mn-ea"/>
              <a:cs typeface="+mn-cs"/>
            </a:rPr>
            <a:t>PROMEDIO= </a:t>
          </a:r>
          <a:r>
            <a:rPr lang="en-US" sz="1400" b="0" i="0" u="sng" baseline="0">
              <a:effectLst/>
              <a:latin typeface="+mn-lt"/>
              <a:ea typeface="+mn-ea"/>
              <a:cs typeface="+mn-cs"/>
            </a:rPr>
            <a:t>% de avance programado)    </a:t>
          </a:r>
          <a:r>
            <a:rPr lang="en-US" sz="1400" b="0" i="0" baseline="0">
              <a:effectLst/>
              <a:latin typeface="+mn-lt"/>
              <a:ea typeface="+mn-ea"/>
              <a:cs typeface="+mn-cs"/>
            </a:rPr>
            <a:t>x 100  </a:t>
          </a:r>
          <a:endParaRPr lang="es-PE" sz="1400">
            <a:effectLst/>
            <a:latin typeface="+mn-lt"/>
          </a:endParaRPr>
        </a:p>
        <a:p>
          <a:pPr rtl="0" eaLnBrk="1" fontAlgn="auto" latinLnBrk="0" hangingPunct="1"/>
          <a:r>
            <a:rPr lang="en-US" sz="1400" b="0" i="0" baseline="0">
              <a:effectLst/>
              <a:latin typeface="+mn-lt"/>
              <a:ea typeface="+mn-ea"/>
              <a:cs typeface="+mn-cs"/>
            </a:rPr>
            <a:t>                                   % de avance real</a:t>
          </a:r>
          <a:endParaRPr lang="es-PE" sz="1400">
            <a:effectLst/>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hcabanillas_tasa_com_pe/Documents/Velocimentros%20y%20Gau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locimetros "/>
      <sheetName val="Velocimetros con imagenes 1"/>
      <sheetName val="Velocimetros con imagenes 2"/>
      <sheetName val="Velocimetros con imagenes 3"/>
      <sheetName val="Termo 1"/>
      <sheetName val="Excel_Gauge1"/>
      <sheetName val="Excel_Gauge2"/>
      <sheetName val="Excel_Gauge3"/>
      <sheetName val="Excel_Gauge4"/>
      <sheetName val="Excel_Gauge5"/>
      <sheetName val="Excel_Gauge6"/>
      <sheetName val="Enlazado a Celdas"/>
      <sheetName val="0 Fuentes"/>
    </sheetNames>
    <sheetDataSet>
      <sheetData sheetId="0">
        <row r="4">
          <cell r="C4" t="str">
            <v>misdatos</v>
          </cell>
        </row>
        <row r="32">
          <cell r="AK32">
            <v>2.5</v>
          </cell>
        </row>
      </sheetData>
      <sheetData sheetId="1"/>
      <sheetData sheetId="2"/>
      <sheetData sheetId="3"/>
      <sheetData sheetId="4">
        <row r="5">
          <cell r="C5">
            <v>0.45</v>
          </cell>
        </row>
      </sheetData>
      <sheetData sheetId="5"/>
      <sheetData sheetId="6">
        <row r="8">
          <cell r="I8" t="str">
            <v>Red</v>
          </cell>
        </row>
      </sheetData>
      <sheetData sheetId="7">
        <row r="5">
          <cell r="S5">
            <v>35</v>
          </cell>
        </row>
      </sheetData>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pageSetUpPr fitToPage="1"/>
  </sheetPr>
  <dimension ref="A1:L49"/>
  <sheetViews>
    <sheetView showGridLines="0" zoomScale="80" zoomScaleNormal="80" workbookViewId="0">
      <selection activeCell="A7" sqref="A7:L9"/>
    </sheetView>
  </sheetViews>
  <sheetFormatPr baseColWidth="10" defaultColWidth="11.453125" defaultRowHeight="12.5"/>
  <cols>
    <col min="1" max="1" width="12.7265625" customWidth="1"/>
    <col min="2" max="2" width="16" customWidth="1"/>
    <col min="3" max="3" width="14.7265625" customWidth="1"/>
    <col min="5" max="5" width="12.81640625" customWidth="1"/>
    <col min="6" max="6" width="35.26953125" customWidth="1"/>
    <col min="7" max="7" width="18.1796875" customWidth="1"/>
    <col min="8" max="8" width="18.81640625" customWidth="1"/>
    <col min="9" max="9" width="21.26953125" customWidth="1"/>
    <col min="10" max="10" width="15.54296875" customWidth="1"/>
    <col min="11" max="11" width="18.453125" customWidth="1"/>
    <col min="12" max="12" width="18.1796875" customWidth="1"/>
    <col min="13" max="13" width="3.81640625" customWidth="1"/>
    <col min="14" max="14" width="7" customWidth="1"/>
  </cols>
  <sheetData>
    <row r="1" spans="1:12" s="1" customFormat="1" ht="57" customHeight="1" thickBot="1">
      <c r="A1" s="201" t="s">
        <v>0</v>
      </c>
      <c r="B1" s="202"/>
      <c r="C1" s="202"/>
      <c r="D1" s="202"/>
      <c r="E1" s="202"/>
      <c r="F1" s="202"/>
      <c r="G1" s="202"/>
      <c r="H1" s="202"/>
      <c r="I1" s="202"/>
      <c r="J1" s="202"/>
      <c r="K1" s="202"/>
      <c r="L1" s="203"/>
    </row>
    <row r="2" spans="1:12" ht="16.5" thickBot="1">
      <c r="A2" s="5"/>
      <c r="B2" s="5"/>
      <c r="C2" s="5"/>
      <c r="D2" s="5"/>
      <c r="E2" s="5"/>
      <c r="F2" s="5"/>
      <c r="G2" s="5"/>
      <c r="H2" s="5"/>
      <c r="I2" s="5"/>
      <c r="J2" s="5"/>
      <c r="K2" s="5"/>
      <c r="L2" s="5"/>
    </row>
    <row r="3" spans="1:12" s="4" customFormat="1" ht="74.25" customHeight="1">
      <c r="A3" s="204" t="s">
        <v>1</v>
      </c>
      <c r="B3" s="205"/>
      <c r="C3" s="209" t="s">
        <v>2</v>
      </c>
      <c r="D3" s="210"/>
      <c r="E3" s="6"/>
      <c r="F3" s="204" t="s">
        <v>3</v>
      </c>
      <c r="G3" s="222"/>
      <c r="H3" s="213" t="s">
        <v>4</v>
      </c>
      <c r="I3" s="214"/>
      <c r="J3" s="7" t="s">
        <v>5</v>
      </c>
      <c r="K3" s="31">
        <v>45663</v>
      </c>
      <c r="L3" s="8" t="s">
        <v>6</v>
      </c>
    </row>
    <row r="4" spans="1:12" ht="16.5" thickBot="1">
      <c r="A4" s="206" t="s">
        <v>7</v>
      </c>
      <c r="B4" s="207"/>
      <c r="C4" s="211" t="s">
        <v>8</v>
      </c>
      <c r="D4" s="212"/>
      <c r="E4" s="5"/>
      <c r="F4" s="206" t="s">
        <v>9</v>
      </c>
      <c r="G4" s="208"/>
      <c r="H4" s="215" t="s">
        <v>10</v>
      </c>
      <c r="I4" s="216"/>
      <c r="J4" s="9" t="s">
        <v>11</v>
      </c>
      <c r="K4" s="32">
        <v>45677</v>
      </c>
      <c r="L4" s="19">
        <v>4</v>
      </c>
    </row>
    <row r="5" spans="1:12" ht="16.5" thickBot="1">
      <c r="A5" s="5"/>
      <c r="B5" s="5"/>
      <c r="C5" s="5"/>
      <c r="D5" s="5"/>
      <c r="E5" s="5"/>
      <c r="F5" s="10"/>
      <c r="G5" s="10"/>
      <c r="H5" s="5"/>
      <c r="I5" s="5"/>
      <c r="J5" s="5"/>
      <c r="K5" s="5"/>
      <c r="L5" s="5"/>
    </row>
    <row r="6" spans="1:12" ht="19.5" customHeight="1" thickBot="1">
      <c r="A6" s="181" t="s">
        <v>12</v>
      </c>
      <c r="B6" s="182"/>
      <c r="C6" s="182"/>
      <c r="D6" s="182"/>
      <c r="E6" s="182"/>
      <c r="F6" s="182"/>
      <c r="G6" s="182"/>
      <c r="H6" s="182"/>
      <c r="I6" s="182"/>
      <c r="J6" s="182"/>
      <c r="K6" s="182"/>
      <c r="L6" s="183"/>
    </row>
    <row r="7" spans="1:12" ht="24" customHeight="1">
      <c r="A7" s="196" t="s">
        <v>13</v>
      </c>
      <c r="B7" s="197"/>
      <c r="C7" s="197"/>
      <c r="D7" s="197"/>
      <c r="E7" s="197"/>
      <c r="F7" s="197"/>
      <c r="G7" s="197"/>
      <c r="H7" s="197"/>
      <c r="I7" s="197"/>
      <c r="J7" s="197"/>
      <c r="K7" s="197"/>
      <c r="L7" s="198"/>
    </row>
    <row r="8" spans="1:12" ht="33" customHeight="1">
      <c r="A8" s="196"/>
      <c r="B8" s="197"/>
      <c r="C8" s="197"/>
      <c r="D8" s="197"/>
      <c r="E8" s="197"/>
      <c r="F8" s="197"/>
      <c r="G8" s="197"/>
      <c r="H8" s="197"/>
      <c r="I8" s="197"/>
      <c r="J8" s="197"/>
      <c r="K8" s="197"/>
      <c r="L8" s="198"/>
    </row>
    <row r="9" spans="1:12" ht="15.75" customHeight="1">
      <c r="A9" s="196"/>
      <c r="B9" s="197"/>
      <c r="C9" s="197"/>
      <c r="D9" s="197"/>
      <c r="E9" s="197"/>
      <c r="F9" s="197"/>
      <c r="G9" s="197"/>
      <c r="H9" s="197"/>
      <c r="I9" s="197"/>
      <c r="J9" s="197"/>
      <c r="K9" s="197"/>
      <c r="L9" s="198"/>
    </row>
    <row r="10" spans="1:12" ht="39.75" customHeight="1">
      <c r="A10" s="220" t="s">
        <v>14</v>
      </c>
      <c r="B10" s="221"/>
      <c r="C10" s="221"/>
      <c r="D10" s="199" t="s">
        <v>15</v>
      </c>
      <c r="E10" s="199"/>
      <c r="F10" s="199"/>
      <c r="G10" s="199"/>
      <c r="H10" s="199"/>
      <c r="I10" s="199"/>
      <c r="J10" s="199"/>
      <c r="K10" s="199"/>
      <c r="L10" s="200"/>
    </row>
    <row r="11" spans="1:12" ht="34.5" customHeight="1">
      <c r="A11" s="217" t="s">
        <v>16</v>
      </c>
      <c r="B11" s="218"/>
      <c r="C11" s="219"/>
      <c r="D11" s="242"/>
      <c r="E11" s="243"/>
      <c r="F11" s="243"/>
      <c r="G11" s="243"/>
      <c r="H11" s="243"/>
      <c r="I11" s="243"/>
      <c r="J11" s="243"/>
      <c r="K11" s="243"/>
      <c r="L11" s="244"/>
    </row>
    <row r="12" spans="1:12" ht="32.25" customHeight="1" thickBot="1">
      <c r="A12" s="217"/>
      <c r="B12" s="218"/>
      <c r="C12" s="219"/>
      <c r="D12" s="245"/>
      <c r="E12" s="246"/>
      <c r="F12" s="246"/>
      <c r="G12" s="246"/>
      <c r="H12" s="246"/>
      <c r="I12" s="246"/>
      <c r="J12" s="246"/>
      <c r="K12" s="246"/>
      <c r="L12" s="247"/>
    </row>
    <row r="13" spans="1:12" ht="22.5" customHeight="1" thickBot="1">
      <c r="A13" s="166" t="s">
        <v>17</v>
      </c>
      <c r="B13" s="167"/>
      <c r="C13" s="167"/>
      <c r="D13" s="167"/>
      <c r="E13" s="167"/>
      <c r="F13" s="168"/>
      <c r="G13" s="166" t="s">
        <v>18</v>
      </c>
      <c r="H13" s="167"/>
      <c r="I13" s="167"/>
      <c r="J13" s="167"/>
      <c r="K13" s="167"/>
      <c r="L13" s="168"/>
    </row>
    <row r="14" spans="1:12" ht="61" customHeight="1" thickTop="1">
      <c r="A14" s="250" t="s">
        <v>19</v>
      </c>
      <c r="B14" s="251"/>
      <c r="C14" s="251"/>
      <c r="D14" s="251"/>
      <c r="E14" s="251"/>
      <c r="F14" s="252"/>
      <c r="G14" s="230" t="s">
        <v>20</v>
      </c>
      <c r="H14" s="231"/>
      <c r="I14" s="248" t="s">
        <v>21</v>
      </c>
      <c r="J14" s="249"/>
      <c r="K14" s="226" t="s">
        <v>22</v>
      </c>
      <c r="L14" s="227"/>
    </row>
    <row r="15" spans="1:12" ht="16">
      <c r="A15" s="11" t="s">
        <v>23</v>
      </c>
      <c r="B15" s="12"/>
      <c r="C15" s="223" t="s">
        <v>24</v>
      </c>
      <c r="D15" s="224"/>
      <c r="E15" s="224"/>
      <c r="F15" s="225"/>
      <c r="G15" s="232"/>
      <c r="H15" s="233"/>
      <c r="I15" s="238"/>
      <c r="J15" s="239"/>
      <c r="K15" s="228" t="s">
        <v>25</v>
      </c>
      <c r="L15" s="229"/>
    </row>
    <row r="16" spans="1:12" ht="16">
      <c r="A16" s="11" t="s">
        <v>26</v>
      </c>
      <c r="B16" s="12"/>
      <c r="C16" s="224" t="s">
        <v>27</v>
      </c>
      <c r="D16" s="224"/>
      <c r="E16" s="224"/>
      <c r="F16" s="225"/>
      <c r="G16" s="232"/>
      <c r="H16" s="233"/>
      <c r="I16" s="236" t="s">
        <v>28</v>
      </c>
      <c r="J16" s="237"/>
      <c r="K16" s="228" t="s">
        <v>29</v>
      </c>
      <c r="L16" s="229"/>
    </row>
    <row r="17" spans="1:12" ht="18" customHeight="1">
      <c r="A17" s="11" t="s">
        <v>30</v>
      </c>
      <c r="B17" s="12"/>
      <c r="C17" s="224" t="s">
        <v>31</v>
      </c>
      <c r="D17" s="224"/>
      <c r="E17" s="224"/>
      <c r="F17" s="225"/>
      <c r="G17" s="232"/>
      <c r="H17" s="233"/>
      <c r="I17" s="238"/>
      <c r="J17" s="239"/>
      <c r="K17" s="228" t="s">
        <v>32</v>
      </c>
      <c r="L17" s="229"/>
    </row>
    <row r="18" spans="1:12" ht="18" customHeight="1">
      <c r="A18" s="11" t="s">
        <v>33</v>
      </c>
      <c r="B18" s="12"/>
      <c r="C18" s="223">
        <v>1</v>
      </c>
      <c r="D18" s="224"/>
      <c r="E18" s="224"/>
      <c r="F18" s="225"/>
      <c r="G18" s="232"/>
      <c r="H18" s="233"/>
      <c r="I18" s="236" t="s">
        <v>34</v>
      </c>
      <c r="J18" s="237"/>
      <c r="K18" s="228" t="s">
        <v>35</v>
      </c>
      <c r="L18" s="229"/>
    </row>
    <row r="19" spans="1:12" ht="18" customHeight="1">
      <c r="A19" s="13"/>
      <c r="B19" s="5"/>
      <c r="C19" s="30"/>
      <c r="D19" s="28"/>
      <c r="E19" s="28"/>
      <c r="F19" s="29"/>
      <c r="G19" s="232"/>
      <c r="H19" s="233"/>
      <c r="I19" s="238"/>
      <c r="J19" s="239"/>
      <c r="K19" s="228" t="s">
        <v>36</v>
      </c>
      <c r="L19" s="229"/>
    </row>
    <row r="20" spans="1:12" ht="18" customHeight="1" thickBot="1">
      <c r="A20" s="13"/>
      <c r="B20" s="5"/>
      <c r="C20" s="30"/>
      <c r="D20" s="28"/>
      <c r="E20" s="28"/>
      <c r="F20" s="29"/>
      <c r="G20" s="234"/>
      <c r="H20" s="235"/>
      <c r="I20" s="240"/>
      <c r="J20" s="241"/>
      <c r="K20" s="228" t="s">
        <v>37</v>
      </c>
      <c r="L20" s="229"/>
    </row>
    <row r="21" spans="1:12" ht="20.25" customHeight="1" thickBot="1">
      <c r="A21" s="166" t="s">
        <v>38</v>
      </c>
      <c r="B21" s="167"/>
      <c r="C21" s="167"/>
      <c r="D21" s="167"/>
      <c r="E21" s="167"/>
      <c r="F21" s="168"/>
      <c r="G21" s="166" t="s">
        <v>39</v>
      </c>
      <c r="H21" s="167"/>
      <c r="I21" s="169"/>
      <c r="J21" s="169"/>
      <c r="K21" s="167"/>
      <c r="L21" s="168"/>
    </row>
    <row r="22" spans="1:12" ht="18.75" customHeight="1">
      <c r="A22" s="20" t="s">
        <v>40</v>
      </c>
      <c r="B22" s="21"/>
      <c r="C22" s="21"/>
      <c r="D22" s="21"/>
      <c r="E22" s="21"/>
      <c r="F22" s="22"/>
      <c r="G22" s="192" t="s">
        <v>41</v>
      </c>
      <c r="H22" s="192"/>
      <c r="I22" s="192"/>
      <c r="J22" s="192"/>
      <c r="K22" s="192"/>
      <c r="L22" s="193"/>
    </row>
    <row r="23" spans="1:12" ht="17.25" customHeight="1">
      <c r="A23" s="170" t="s">
        <v>42</v>
      </c>
      <c r="B23" s="171"/>
      <c r="C23" s="171"/>
      <c r="D23" s="171"/>
      <c r="E23" s="171"/>
      <c r="F23" s="172"/>
      <c r="G23" s="192"/>
      <c r="H23" s="192"/>
      <c r="I23" s="192"/>
      <c r="J23" s="192"/>
      <c r="K23" s="192"/>
      <c r="L23" s="193"/>
    </row>
    <row r="24" spans="1:12" ht="17.25" customHeight="1">
      <c r="A24" s="173" t="s">
        <v>43</v>
      </c>
      <c r="B24" s="174"/>
      <c r="C24" s="174"/>
      <c r="D24" s="174"/>
      <c r="E24" s="174"/>
      <c r="F24" s="174"/>
      <c r="G24" s="192"/>
      <c r="H24" s="192"/>
      <c r="I24" s="192"/>
      <c r="J24" s="192"/>
      <c r="K24" s="192"/>
      <c r="L24" s="193"/>
    </row>
    <row r="25" spans="1:12" ht="17.25" customHeight="1">
      <c r="A25" s="175" t="s">
        <v>44</v>
      </c>
      <c r="B25" s="176"/>
      <c r="C25" s="176"/>
      <c r="D25" s="176"/>
      <c r="E25" s="176"/>
      <c r="F25" s="176"/>
      <c r="G25" s="192"/>
      <c r="H25" s="192"/>
      <c r="I25" s="192"/>
      <c r="J25" s="192"/>
      <c r="K25" s="192"/>
      <c r="L25" s="193"/>
    </row>
    <row r="26" spans="1:12" ht="16">
      <c r="A26" s="13" t="s">
        <v>45</v>
      </c>
      <c r="B26" s="13"/>
      <c r="C26" s="5"/>
      <c r="D26" s="186" t="s">
        <v>46</v>
      </c>
      <c r="E26" s="186"/>
      <c r="F26" s="187"/>
      <c r="G26" s="192"/>
      <c r="H26" s="192"/>
      <c r="I26" s="192"/>
      <c r="J26" s="192"/>
      <c r="K26" s="192"/>
      <c r="L26" s="193"/>
    </row>
    <row r="27" spans="1:12" ht="16">
      <c r="A27" s="13" t="s">
        <v>47</v>
      </c>
      <c r="B27" s="13"/>
      <c r="C27" s="5"/>
      <c r="D27" s="186"/>
      <c r="E27" s="186"/>
      <c r="F27" s="187"/>
      <c r="G27" s="192"/>
      <c r="H27" s="192"/>
      <c r="I27" s="192"/>
      <c r="J27" s="192"/>
      <c r="K27" s="192"/>
      <c r="L27" s="193"/>
    </row>
    <row r="28" spans="1:12" ht="33.75" customHeight="1">
      <c r="A28" s="177" t="s">
        <v>48</v>
      </c>
      <c r="B28" s="178"/>
      <c r="C28" s="179" t="s">
        <v>49</v>
      </c>
      <c r="D28" s="179"/>
      <c r="E28" s="179"/>
      <c r="F28" s="180"/>
      <c r="G28" s="192"/>
      <c r="H28" s="192"/>
      <c r="I28" s="192"/>
      <c r="J28" s="192"/>
      <c r="K28" s="192"/>
      <c r="L28" s="193"/>
    </row>
    <row r="29" spans="1:12" s="3" customFormat="1" ht="14.25" customHeight="1">
      <c r="A29" s="14"/>
      <c r="B29" s="5"/>
      <c r="C29" s="5"/>
      <c r="D29" s="184"/>
      <c r="E29" s="184"/>
      <c r="F29" s="185"/>
      <c r="G29" s="192"/>
      <c r="H29" s="192"/>
      <c r="I29" s="192"/>
      <c r="J29" s="192"/>
      <c r="K29" s="192"/>
      <c r="L29" s="193"/>
    </row>
    <row r="30" spans="1:12" s="3" customFormat="1" ht="37.5" customHeight="1">
      <c r="A30" s="188" t="s">
        <v>50</v>
      </c>
      <c r="B30" s="189"/>
      <c r="C30" s="189"/>
      <c r="D30" s="190" t="s">
        <v>49</v>
      </c>
      <c r="E30" s="190"/>
      <c r="F30" s="191"/>
      <c r="G30" s="192"/>
      <c r="H30" s="192"/>
      <c r="I30" s="192"/>
      <c r="J30" s="192"/>
      <c r="K30" s="192"/>
      <c r="L30" s="193"/>
    </row>
    <row r="31" spans="1:12" ht="25.5" customHeight="1" thickBot="1">
      <c r="A31" s="15"/>
      <c r="B31" s="16"/>
      <c r="C31" s="16"/>
      <c r="D31" s="16"/>
      <c r="E31" s="16"/>
      <c r="F31" s="17"/>
      <c r="G31" s="194"/>
      <c r="H31" s="194"/>
      <c r="I31" s="194"/>
      <c r="J31" s="194"/>
      <c r="K31" s="194"/>
      <c r="L31" s="195"/>
    </row>
    <row r="32" spans="1:12" ht="23.25" customHeight="1" thickBot="1">
      <c r="A32" s="181" t="s">
        <v>51</v>
      </c>
      <c r="B32" s="182"/>
      <c r="C32" s="182"/>
      <c r="D32" s="182"/>
      <c r="E32" s="182"/>
      <c r="F32" s="182"/>
      <c r="G32" s="182"/>
      <c r="H32" s="182"/>
      <c r="I32" s="182"/>
      <c r="J32" s="182"/>
      <c r="K32" s="182"/>
      <c r="L32" s="183"/>
    </row>
    <row r="33" spans="1:12">
      <c r="A33" s="23"/>
      <c r="L33" s="2"/>
    </row>
    <row r="34" spans="1:12">
      <c r="A34" s="23"/>
      <c r="L34" s="2"/>
    </row>
    <row r="35" spans="1:12">
      <c r="A35" s="23"/>
      <c r="L35" s="2"/>
    </row>
    <row r="36" spans="1:12" ht="21" customHeight="1">
      <c r="A36" s="23"/>
      <c r="L36" s="2"/>
    </row>
    <row r="37" spans="1:12" ht="24" customHeight="1">
      <c r="A37" s="23"/>
      <c r="L37" s="2"/>
    </row>
    <row r="38" spans="1:12">
      <c r="A38" s="23"/>
      <c r="L38" s="2"/>
    </row>
    <row r="39" spans="1:12" ht="28.5" customHeight="1">
      <c r="A39" s="23"/>
      <c r="L39" s="2"/>
    </row>
    <row r="40" spans="1:12" ht="30" customHeight="1">
      <c r="A40" s="23"/>
      <c r="L40" s="2"/>
    </row>
    <row r="41" spans="1:12" ht="27" customHeight="1">
      <c r="A41" s="23"/>
      <c r="L41" s="2"/>
    </row>
    <row r="42" spans="1:12" ht="15" customHeight="1">
      <c r="A42" s="23"/>
      <c r="L42" s="2"/>
    </row>
    <row r="43" spans="1:12" ht="39.75" customHeight="1">
      <c r="A43" s="23"/>
      <c r="L43" s="2"/>
    </row>
    <row r="44" spans="1:12" ht="21.75" customHeight="1">
      <c r="A44" s="23"/>
      <c r="L44" s="2"/>
    </row>
    <row r="45" spans="1:12">
      <c r="A45" s="23"/>
      <c r="L45" s="2"/>
    </row>
    <row r="46" spans="1:12" ht="21" customHeight="1">
      <c r="A46" s="23"/>
      <c r="L46" s="2"/>
    </row>
    <row r="47" spans="1:12" ht="24" customHeight="1">
      <c r="A47" s="23"/>
      <c r="L47" s="2"/>
    </row>
    <row r="48" spans="1:12" ht="13" thickBot="1">
      <c r="A48" s="24"/>
      <c r="B48" s="25"/>
      <c r="C48" s="25"/>
      <c r="D48" s="25"/>
      <c r="E48" s="25"/>
      <c r="F48" s="25"/>
      <c r="G48" s="25"/>
      <c r="H48" s="25"/>
      <c r="I48" s="25"/>
      <c r="J48" s="25"/>
      <c r="K48" s="25"/>
      <c r="L48" s="26"/>
    </row>
    <row r="49" spans="1:12">
      <c r="A49" s="18"/>
      <c r="B49" s="18"/>
      <c r="C49" s="18"/>
      <c r="D49" s="18"/>
      <c r="E49" s="18"/>
      <c r="F49" s="18"/>
      <c r="G49" s="18"/>
      <c r="H49" s="18"/>
      <c r="I49" s="18"/>
      <c r="J49" s="18"/>
      <c r="K49" s="18"/>
      <c r="L49" s="18"/>
    </row>
  </sheetData>
  <mergeCells count="47">
    <mergeCell ref="D11:L12"/>
    <mergeCell ref="C16:F16"/>
    <mergeCell ref="C17:F17"/>
    <mergeCell ref="C15:F15"/>
    <mergeCell ref="I14:J15"/>
    <mergeCell ref="I16:J17"/>
    <mergeCell ref="A14:F14"/>
    <mergeCell ref="C18:F18"/>
    <mergeCell ref="K14:L14"/>
    <mergeCell ref="K15:L15"/>
    <mergeCell ref="K16:L16"/>
    <mergeCell ref="K17:L17"/>
    <mergeCell ref="K18:L18"/>
    <mergeCell ref="G14:H20"/>
    <mergeCell ref="K19:L19"/>
    <mergeCell ref="K20:L20"/>
    <mergeCell ref="I18:J20"/>
    <mergeCell ref="A7:L9"/>
    <mergeCell ref="D10:L10"/>
    <mergeCell ref="A1:L1"/>
    <mergeCell ref="A6:L6"/>
    <mergeCell ref="A13:F13"/>
    <mergeCell ref="G13:L13"/>
    <mergeCell ref="A3:B3"/>
    <mergeCell ref="A4:B4"/>
    <mergeCell ref="F4:G4"/>
    <mergeCell ref="C3:D3"/>
    <mergeCell ref="C4:D4"/>
    <mergeCell ref="H3:I3"/>
    <mergeCell ref="H4:I4"/>
    <mergeCell ref="A11:C12"/>
    <mergeCell ref="A10:C10"/>
    <mergeCell ref="F3:G3"/>
    <mergeCell ref="A28:B28"/>
    <mergeCell ref="C28:F28"/>
    <mergeCell ref="A32:L32"/>
    <mergeCell ref="D29:F29"/>
    <mergeCell ref="D26:F26"/>
    <mergeCell ref="D27:F27"/>
    <mergeCell ref="A30:C30"/>
    <mergeCell ref="D30:F30"/>
    <mergeCell ref="G22:L31"/>
    <mergeCell ref="A21:F21"/>
    <mergeCell ref="G21:L21"/>
    <mergeCell ref="A23:F23"/>
    <mergeCell ref="A24:F24"/>
    <mergeCell ref="A25:F25"/>
  </mergeCells>
  <pageMargins left="0.70866141732283472" right="0.70866141732283472" top="0.74803149606299213" bottom="0.74803149606299213" header="0.31496062992125984" footer="0.31496062992125984"/>
  <pageSetup paperSize="9" scale="41" orientation="portrait" r:id="rId1"/>
  <headerFooter>
    <oddFooter>&amp;L&amp;"Arial,Negrita"SPC02-F03 v01</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U58"/>
  <sheetViews>
    <sheetView showGridLines="0" topLeftCell="A6" zoomScale="70" zoomScaleNormal="70" zoomScaleSheetLayoutView="70" workbookViewId="0">
      <selection activeCell="N7" sqref="N7:O7"/>
    </sheetView>
  </sheetViews>
  <sheetFormatPr baseColWidth="10" defaultColWidth="11.453125" defaultRowHeight="18.5"/>
  <cols>
    <col min="1" max="1" width="1.453125" style="62" customWidth="1"/>
    <col min="2" max="2" width="16.81640625" style="62" customWidth="1"/>
    <col min="3" max="7" width="11.453125" style="62"/>
    <col min="8" max="8" width="13.26953125" style="62" customWidth="1"/>
    <col min="9" max="9" width="12.81640625" style="62" customWidth="1"/>
    <col min="10" max="11" width="11.453125" style="62"/>
    <col min="12" max="12" width="10.26953125" style="62" customWidth="1"/>
    <col min="13" max="13" width="10.7265625" style="62" customWidth="1"/>
    <col min="14" max="14" width="12.453125" style="62" customWidth="1"/>
    <col min="15" max="15" width="22.1796875" style="62" customWidth="1"/>
    <col min="16" max="16" width="1.26953125" style="62" customWidth="1"/>
    <col min="17" max="16384" width="11.453125" style="62"/>
  </cols>
  <sheetData>
    <row r="1" spans="1:21" ht="55.5" customHeight="1" thickBot="1">
      <c r="A1" s="293" t="s">
        <v>0</v>
      </c>
      <c r="B1" s="294"/>
      <c r="C1" s="294"/>
      <c r="D1" s="294"/>
      <c r="E1" s="294"/>
      <c r="F1" s="294"/>
      <c r="G1" s="294"/>
      <c r="H1" s="294"/>
      <c r="I1" s="294"/>
      <c r="J1" s="294"/>
      <c r="K1" s="294"/>
      <c r="L1" s="294"/>
      <c r="M1" s="294"/>
      <c r="N1" s="294"/>
      <c r="O1" s="294"/>
      <c r="P1" s="295"/>
      <c r="Q1" s="60"/>
      <c r="R1" s="61"/>
      <c r="S1" s="61"/>
      <c r="T1" s="61"/>
      <c r="U1" s="61"/>
    </row>
    <row r="2" spans="1:21" ht="7.5" customHeight="1" thickBot="1">
      <c r="A2" s="59"/>
      <c r="B2" s="63"/>
      <c r="C2" s="64"/>
      <c r="K2" s="65"/>
      <c r="L2" s="66"/>
      <c r="M2" s="67"/>
      <c r="N2" s="68"/>
      <c r="O2" s="66"/>
      <c r="P2" s="69"/>
      <c r="Q2" s="70"/>
      <c r="R2" s="66"/>
      <c r="S2" s="66"/>
      <c r="T2" s="67"/>
      <c r="U2" s="68"/>
    </row>
    <row r="3" spans="1:21" ht="55.5" customHeight="1">
      <c r="A3" s="59"/>
      <c r="B3" s="296" t="s">
        <v>52</v>
      </c>
      <c r="C3" s="297"/>
      <c r="D3" s="297"/>
      <c r="E3" s="301" t="s">
        <v>53</v>
      </c>
      <c r="F3" s="301"/>
      <c r="G3" s="301"/>
      <c r="H3" s="301"/>
      <c r="I3" s="301"/>
      <c r="J3" s="301"/>
      <c r="K3" s="301"/>
      <c r="L3" s="301"/>
      <c r="M3" s="301"/>
      <c r="N3" s="301"/>
      <c r="O3" s="302"/>
      <c r="P3" s="69"/>
      <c r="Q3" s="70"/>
      <c r="R3" s="66"/>
      <c r="S3" s="66"/>
      <c r="T3" s="67"/>
      <c r="U3" s="68"/>
    </row>
    <row r="4" spans="1:21" ht="57" customHeight="1">
      <c r="A4" s="59"/>
      <c r="B4" s="298" t="s">
        <v>54</v>
      </c>
      <c r="C4" s="299"/>
      <c r="D4" s="299"/>
      <c r="E4" s="303"/>
      <c r="F4" s="303"/>
      <c r="G4" s="303"/>
      <c r="H4" s="303"/>
      <c r="I4" s="303"/>
      <c r="J4" s="303"/>
      <c r="K4" s="303"/>
      <c r="L4" s="303"/>
      <c r="M4" s="303"/>
      <c r="N4" s="303"/>
      <c r="O4" s="304"/>
      <c r="P4" s="69"/>
      <c r="Q4" s="70"/>
      <c r="R4" s="66"/>
      <c r="S4" s="66"/>
      <c r="T4" s="67"/>
      <c r="U4" s="68"/>
    </row>
    <row r="5" spans="1:21" ht="42" customHeight="1">
      <c r="A5" s="59"/>
      <c r="B5" s="298" t="s">
        <v>55</v>
      </c>
      <c r="C5" s="299"/>
      <c r="D5" s="299"/>
      <c r="E5" s="305" t="s">
        <v>56</v>
      </c>
      <c r="F5" s="305"/>
      <c r="G5" s="305"/>
      <c r="H5" s="305"/>
      <c r="I5" s="305"/>
      <c r="J5" s="305"/>
      <c r="K5" s="305"/>
      <c r="L5" s="305"/>
      <c r="M5" s="305"/>
      <c r="N5" s="305"/>
      <c r="O5" s="306"/>
      <c r="P5" s="69"/>
      <c r="Q5" s="70"/>
      <c r="R5" s="66"/>
      <c r="S5" s="66"/>
      <c r="T5" s="67"/>
      <c r="U5" s="68"/>
    </row>
    <row r="6" spans="1:21" ht="22.5" customHeight="1">
      <c r="A6" s="59"/>
      <c r="B6" s="298" t="s">
        <v>57</v>
      </c>
      <c r="C6" s="299"/>
      <c r="D6" s="299"/>
      <c r="E6" s="307" t="s">
        <v>58</v>
      </c>
      <c r="F6" s="307"/>
      <c r="G6" s="307"/>
      <c r="H6" s="307"/>
      <c r="I6" s="307"/>
      <c r="J6" s="307"/>
      <c r="K6" s="307"/>
      <c r="L6" s="307"/>
      <c r="M6" s="307"/>
      <c r="N6" s="307"/>
      <c r="O6" s="308"/>
      <c r="P6" s="69"/>
      <c r="Q6" s="70"/>
      <c r="R6" s="66"/>
      <c r="S6" s="66"/>
      <c r="T6" s="67"/>
      <c r="U6" s="68"/>
    </row>
    <row r="7" spans="1:21" ht="44.25" customHeight="1">
      <c r="A7" s="59"/>
      <c r="B7" s="300" t="s">
        <v>59</v>
      </c>
      <c r="C7" s="291"/>
      <c r="D7" s="291"/>
      <c r="E7" s="288" t="s">
        <v>60</v>
      </c>
      <c r="F7" s="288"/>
      <c r="G7" s="288"/>
      <c r="H7" s="291" t="s">
        <v>61</v>
      </c>
      <c r="I7" s="291"/>
      <c r="J7" s="288" t="s">
        <v>62</v>
      </c>
      <c r="K7" s="288"/>
      <c r="L7" s="291" t="s">
        <v>63</v>
      </c>
      <c r="M7" s="291"/>
      <c r="N7" s="289" t="s">
        <v>97</v>
      </c>
      <c r="O7" s="290"/>
      <c r="P7" s="69"/>
      <c r="Q7" s="70"/>
      <c r="R7" s="66"/>
      <c r="S7" s="66"/>
      <c r="T7" s="67"/>
      <c r="U7" s="68"/>
    </row>
    <row r="8" spans="1:21" ht="19" thickBot="1">
      <c r="A8" s="71"/>
      <c r="B8" s="72"/>
      <c r="C8" s="72"/>
      <c r="D8" s="72"/>
      <c r="E8" s="72"/>
      <c r="F8" s="72"/>
      <c r="G8" s="73"/>
      <c r="H8" s="72"/>
      <c r="I8" s="72"/>
      <c r="J8" s="74"/>
      <c r="K8" s="74"/>
      <c r="L8" s="75"/>
      <c r="M8" s="67"/>
      <c r="N8" s="68"/>
      <c r="O8" s="76"/>
      <c r="P8" s="77"/>
      <c r="Q8" s="78"/>
      <c r="R8" s="75"/>
      <c r="S8" s="75"/>
      <c r="T8" s="67"/>
      <c r="U8" s="68"/>
    </row>
    <row r="9" spans="1:21" ht="20.25" customHeight="1" thickBot="1">
      <c r="A9" s="71"/>
      <c r="B9" s="281" t="s">
        <v>65</v>
      </c>
      <c r="C9" s="282"/>
      <c r="D9" s="282"/>
      <c r="E9" s="282"/>
      <c r="F9" s="282"/>
      <c r="G9" s="282"/>
      <c r="H9" s="282"/>
      <c r="I9" s="282"/>
      <c r="J9" s="282"/>
      <c r="K9" s="282"/>
      <c r="L9" s="282"/>
      <c r="M9" s="282"/>
      <c r="N9" s="282"/>
      <c r="O9" s="283"/>
      <c r="P9" s="77"/>
      <c r="Q9" s="78"/>
      <c r="R9" s="75"/>
      <c r="S9" s="75"/>
      <c r="T9" s="67"/>
      <c r="U9" s="68"/>
    </row>
    <row r="10" spans="1:21" ht="6.75" customHeight="1" thickBot="1">
      <c r="A10" s="79"/>
      <c r="B10" s="80"/>
      <c r="C10" s="80"/>
      <c r="D10" s="80"/>
      <c r="E10" s="81"/>
      <c r="F10" s="80"/>
      <c r="G10" s="80"/>
      <c r="H10" s="80"/>
      <c r="I10" s="80"/>
      <c r="J10" s="82"/>
      <c r="K10" s="82"/>
      <c r="L10" s="60"/>
      <c r="M10" s="60"/>
      <c r="N10" s="60"/>
      <c r="O10" s="61"/>
      <c r="P10" s="83"/>
      <c r="Q10" s="60"/>
      <c r="R10" s="61"/>
      <c r="S10" s="61"/>
      <c r="T10" s="61"/>
      <c r="U10" s="61"/>
    </row>
    <row r="11" spans="1:21" ht="25" customHeight="1">
      <c r="A11" s="79"/>
      <c r="B11" s="84" t="s">
        <v>66</v>
      </c>
      <c r="C11" s="85" t="s">
        <v>67</v>
      </c>
      <c r="D11" s="85" t="s">
        <v>68</v>
      </c>
      <c r="E11" s="85" t="s">
        <v>69</v>
      </c>
      <c r="F11" s="85" t="s">
        <v>70</v>
      </c>
      <c r="G11" s="85" t="s">
        <v>71</v>
      </c>
      <c r="H11" s="85" t="s">
        <v>72</v>
      </c>
      <c r="I11" s="85" t="s">
        <v>73</v>
      </c>
      <c r="J11" s="85" t="s">
        <v>74</v>
      </c>
      <c r="K11" s="85" t="s">
        <v>75</v>
      </c>
      <c r="L11" s="85" t="s">
        <v>76</v>
      </c>
      <c r="M11" s="85" t="s">
        <v>77</v>
      </c>
      <c r="N11" s="85" t="s">
        <v>78</v>
      </c>
      <c r="O11" s="86" t="s">
        <v>79</v>
      </c>
      <c r="P11" s="83"/>
      <c r="Q11" s="60"/>
      <c r="R11" s="61"/>
      <c r="S11" s="61"/>
      <c r="T11" s="61"/>
      <c r="U11" s="61"/>
    </row>
    <row r="12" spans="1:21" ht="25" customHeight="1">
      <c r="A12" s="79"/>
      <c r="B12" s="87" t="s">
        <v>80</v>
      </c>
      <c r="C12" s="88">
        <v>117</v>
      </c>
      <c r="D12" s="88">
        <v>98</v>
      </c>
      <c r="E12" s="88">
        <v>98</v>
      </c>
      <c r="F12" s="88">
        <v>100</v>
      </c>
      <c r="G12" s="145"/>
      <c r="H12" s="88">
        <v>100</v>
      </c>
      <c r="I12" s="88">
        <v>100</v>
      </c>
      <c r="J12" s="88">
        <v>97</v>
      </c>
      <c r="K12" s="88">
        <v>100</v>
      </c>
      <c r="L12" s="88">
        <v>98</v>
      </c>
      <c r="M12" s="88">
        <v>100</v>
      </c>
      <c r="N12" s="88"/>
      <c r="O12" s="271">
        <f>AVERAGE(C12:N12)</f>
        <v>100.8</v>
      </c>
      <c r="P12" s="83"/>
      <c r="Q12" s="60"/>
      <c r="R12" s="61"/>
      <c r="S12" s="61"/>
      <c r="T12" s="61"/>
      <c r="U12" s="61"/>
    </row>
    <row r="13" spans="1:21" ht="25" customHeight="1">
      <c r="A13" s="79"/>
      <c r="B13" s="89" t="s">
        <v>42</v>
      </c>
      <c r="C13" s="90">
        <v>90</v>
      </c>
      <c r="D13" s="90">
        <v>90</v>
      </c>
      <c r="E13" s="90">
        <v>90</v>
      </c>
      <c r="F13" s="90">
        <v>90</v>
      </c>
      <c r="G13" s="90">
        <v>90</v>
      </c>
      <c r="H13" s="90">
        <v>90</v>
      </c>
      <c r="I13" s="90">
        <v>90</v>
      </c>
      <c r="J13" s="90">
        <v>90</v>
      </c>
      <c r="K13" s="90">
        <v>90</v>
      </c>
      <c r="L13" s="90">
        <v>90</v>
      </c>
      <c r="M13" s="90">
        <v>90</v>
      </c>
      <c r="N13" s="90">
        <v>90</v>
      </c>
      <c r="O13" s="272"/>
      <c r="P13" s="83"/>
      <c r="Q13" s="60"/>
      <c r="R13" s="61"/>
      <c r="S13" s="61"/>
      <c r="T13" s="61"/>
      <c r="U13" s="61"/>
    </row>
    <row r="14" spans="1:21" ht="25" customHeight="1">
      <c r="A14" s="79"/>
      <c r="B14" s="91" t="s">
        <v>43</v>
      </c>
      <c r="C14" s="90">
        <v>89.9</v>
      </c>
      <c r="D14" s="90">
        <v>89.9</v>
      </c>
      <c r="E14" s="90">
        <v>89.9</v>
      </c>
      <c r="F14" s="90">
        <v>89.9</v>
      </c>
      <c r="G14" s="90">
        <v>89.9</v>
      </c>
      <c r="H14" s="90">
        <v>89.9</v>
      </c>
      <c r="I14" s="90">
        <v>89.9</v>
      </c>
      <c r="J14" s="90">
        <v>89.9</v>
      </c>
      <c r="K14" s="90">
        <v>89.9</v>
      </c>
      <c r="L14" s="90">
        <v>89.9</v>
      </c>
      <c r="M14" s="90">
        <v>89.9</v>
      </c>
      <c r="N14" s="90">
        <v>89.9</v>
      </c>
      <c r="O14" s="272"/>
      <c r="P14" s="83"/>
      <c r="Q14" s="60"/>
      <c r="R14" s="61"/>
      <c r="S14" s="61"/>
      <c r="T14" s="61"/>
      <c r="U14" s="61"/>
    </row>
    <row r="15" spans="1:21" ht="25" customHeight="1">
      <c r="A15" s="79"/>
      <c r="B15" s="92" t="s">
        <v>44</v>
      </c>
      <c r="C15" s="93">
        <v>80</v>
      </c>
      <c r="D15" s="93">
        <v>80</v>
      </c>
      <c r="E15" s="93">
        <v>80</v>
      </c>
      <c r="F15" s="93">
        <v>80</v>
      </c>
      <c r="G15" s="93">
        <v>80</v>
      </c>
      <c r="H15" s="93">
        <v>80</v>
      </c>
      <c r="I15" s="93">
        <v>80</v>
      </c>
      <c r="J15" s="93">
        <v>80</v>
      </c>
      <c r="K15" s="93">
        <v>80</v>
      </c>
      <c r="L15" s="93">
        <v>80</v>
      </c>
      <c r="M15" s="93">
        <v>80</v>
      </c>
      <c r="N15" s="93">
        <v>80</v>
      </c>
      <c r="O15" s="273"/>
      <c r="P15" s="83"/>
      <c r="Q15" s="60"/>
      <c r="R15" s="61"/>
      <c r="S15" s="61"/>
      <c r="T15" s="61"/>
      <c r="U15" s="61"/>
    </row>
    <row r="16" spans="1:21" ht="25" customHeight="1">
      <c r="A16" s="79"/>
      <c r="B16" s="80"/>
      <c r="C16" s="80"/>
      <c r="D16" s="80"/>
      <c r="E16" s="81"/>
      <c r="F16" s="80"/>
      <c r="G16" s="80"/>
      <c r="H16" s="80"/>
      <c r="I16" s="80"/>
      <c r="J16" s="82"/>
      <c r="K16" s="82"/>
      <c r="L16" s="60"/>
      <c r="M16" s="60"/>
      <c r="N16" s="60"/>
      <c r="O16" s="61"/>
      <c r="P16" s="83"/>
      <c r="Q16" s="60"/>
      <c r="R16" s="61"/>
      <c r="S16" s="61"/>
      <c r="T16" s="61"/>
      <c r="U16" s="61"/>
    </row>
    <row r="17" spans="1:16" ht="16.5" customHeight="1">
      <c r="A17" s="79"/>
      <c r="B17" s="94"/>
      <c r="C17" s="80"/>
      <c r="D17" s="95"/>
      <c r="E17" s="96"/>
      <c r="F17" s="96"/>
      <c r="G17" s="96"/>
      <c r="H17" s="96"/>
      <c r="I17" s="80"/>
      <c r="J17" s="82"/>
      <c r="K17" s="60"/>
      <c r="L17" s="60"/>
      <c r="M17" s="270"/>
      <c r="N17" s="270"/>
      <c r="O17" s="61"/>
      <c r="P17" s="97"/>
    </row>
    <row r="18" spans="1:16">
      <c r="A18" s="79"/>
      <c r="B18" s="80"/>
      <c r="C18" s="80"/>
      <c r="D18" s="80"/>
      <c r="E18" s="81"/>
      <c r="F18" s="80"/>
      <c r="G18" s="80"/>
      <c r="H18" s="80"/>
      <c r="I18" s="80"/>
      <c r="J18" s="82"/>
      <c r="K18" s="82"/>
      <c r="L18" s="82"/>
      <c r="M18" s="270"/>
      <c r="N18" s="270"/>
      <c r="O18" s="80"/>
      <c r="P18" s="97"/>
    </row>
    <row r="19" spans="1:16">
      <c r="A19" s="79"/>
      <c r="B19" s="98"/>
      <c r="C19" s="98"/>
      <c r="D19" s="98"/>
      <c r="E19" s="99"/>
      <c r="F19" s="100"/>
      <c r="G19" s="100"/>
      <c r="H19" s="100"/>
      <c r="I19" s="100"/>
      <c r="M19" s="101"/>
      <c r="N19" s="101"/>
      <c r="O19" s="80"/>
      <c r="P19" s="97"/>
    </row>
    <row r="20" spans="1:16">
      <c r="A20" s="79"/>
      <c r="B20" s="102"/>
      <c r="C20" s="102"/>
      <c r="D20" s="102"/>
      <c r="E20" s="102"/>
      <c r="F20" s="103"/>
      <c r="G20" s="104"/>
      <c r="H20" s="100"/>
      <c r="I20" s="100"/>
      <c r="M20" s="101"/>
      <c r="N20" s="101"/>
      <c r="O20" s="80"/>
      <c r="P20" s="97"/>
    </row>
    <row r="21" spans="1:16">
      <c r="A21" s="79"/>
      <c r="B21" s="103"/>
      <c r="C21" s="103"/>
      <c r="D21" s="103"/>
      <c r="E21" s="103"/>
      <c r="F21" s="103"/>
      <c r="G21" s="104"/>
      <c r="H21" s="100"/>
      <c r="I21" s="100"/>
      <c r="M21" s="101"/>
      <c r="N21" s="101"/>
      <c r="O21" s="80"/>
      <c r="P21" s="97"/>
    </row>
    <row r="22" spans="1:16">
      <c r="A22" s="79"/>
      <c r="B22" s="103"/>
      <c r="C22" s="103"/>
      <c r="D22" s="103"/>
      <c r="E22" s="103"/>
      <c r="F22" s="103"/>
      <c r="G22" s="104"/>
      <c r="H22" s="100"/>
      <c r="I22" s="100"/>
      <c r="M22" s="101"/>
      <c r="N22" s="101"/>
      <c r="O22" s="80"/>
      <c r="P22" s="97"/>
    </row>
    <row r="23" spans="1:16">
      <c r="A23" s="79"/>
      <c r="B23" s="103"/>
      <c r="C23" s="103"/>
      <c r="D23" s="103"/>
      <c r="E23" s="103"/>
      <c r="F23" s="103"/>
      <c r="G23" s="104"/>
      <c r="H23" s="100"/>
      <c r="I23" s="100"/>
      <c r="M23" s="101"/>
      <c r="N23" s="101"/>
      <c r="O23" s="80"/>
      <c r="P23" s="97"/>
    </row>
    <row r="24" spans="1:16">
      <c r="A24" s="79"/>
      <c r="B24" s="103"/>
      <c r="C24" s="103"/>
      <c r="D24" s="103"/>
      <c r="E24" s="103"/>
      <c r="F24" s="103"/>
      <c r="G24" s="104"/>
      <c r="H24" s="100"/>
      <c r="I24" s="100"/>
      <c r="M24" s="101"/>
      <c r="N24" s="101"/>
      <c r="O24" s="80"/>
      <c r="P24" s="97"/>
    </row>
    <row r="25" spans="1:16">
      <c r="A25" s="79"/>
      <c r="B25" s="103"/>
      <c r="C25" s="103"/>
      <c r="D25" s="103"/>
      <c r="E25" s="103"/>
      <c r="F25" s="103"/>
      <c r="G25" s="104"/>
      <c r="H25" s="100"/>
      <c r="I25" s="100"/>
      <c r="M25" s="101"/>
      <c r="N25" s="101"/>
      <c r="O25" s="80"/>
      <c r="P25" s="97"/>
    </row>
    <row r="26" spans="1:16">
      <c r="A26" s="79"/>
      <c r="B26" s="103"/>
      <c r="C26" s="103"/>
      <c r="D26" s="103"/>
      <c r="E26" s="103"/>
      <c r="F26" s="103"/>
      <c r="G26" s="104"/>
      <c r="H26" s="100"/>
      <c r="I26" s="100"/>
      <c r="M26" s="101"/>
      <c r="N26" s="101"/>
      <c r="O26" s="80"/>
      <c r="P26" s="97"/>
    </row>
    <row r="27" spans="1:16">
      <c r="A27" s="79"/>
      <c r="B27" s="103"/>
      <c r="C27" s="103"/>
      <c r="D27" s="103"/>
      <c r="E27" s="103"/>
      <c r="F27" s="103"/>
      <c r="G27" s="104"/>
      <c r="H27" s="100"/>
      <c r="I27" s="100"/>
      <c r="M27" s="101"/>
      <c r="N27" s="101"/>
      <c r="O27" s="80"/>
      <c r="P27" s="97"/>
    </row>
    <row r="28" spans="1:16">
      <c r="A28" s="79"/>
      <c r="B28" s="103"/>
      <c r="C28" s="103"/>
      <c r="D28" s="103"/>
      <c r="E28" s="103"/>
      <c r="F28" s="103"/>
      <c r="G28" s="104"/>
      <c r="H28" s="100"/>
      <c r="I28" s="100"/>
      <c r="M28" s="101"/>
      <c r="N28" s="101"/>
      <c r="O28" s="80"/>
      <c r="P28" s="97"/>
    </row>
    <row r="29" spans="1:16">
      <c r="A29" s="79"/>
      <c r="B29" s="103"/>
      <c r="C29" s="103"/>
      <c r="D29" s="103"/>
      <c r="E29" s="103"/>
      <c r="F29" s="103"/>
      <c r="G29" s="104"/>
      <c r="H29" s="100"/>
      <c r="I29" s="100"/>
      <c r="M29" s="101"/>
      <c r="N29" s="101"/>
      <c r="O29" s="80"/>
      <c r="P29" s="97"/>
    </row>
    <row r="30" spans="1:16">
      <c r="A30" s="79"/>
      <c r="B30" s="103"/>
      <c r="C30" s="103"/>
      <c r="D30" s="103"/>
      <c r="E30" s="103"/>
      <c r="F30" s="103"/>
      <c r="G30" s="104"/>
      <c r="H30" s="100"/>
      <c r="I30" s="100"/>
      <c r="M30" s="101"/>
      <c r="N30" s="101"/>
      <c r="O30" s="80"/>
      <c r="P30" s="97"/>
    </row>
    <row r="31" spans="1:16">
      <c r="A31" s="79"/>
      <c r="B31" s="103"/>
      <c r="C31" s="103"/>
      <c r="D31" s="103"/>
      <c r="E31" s="103"/>
      <c r="F31" s="103"/>
      <c r="G31" s="104"/>
      <c r="H31" s="100"/>
      <c r="I31" s="100"/>
      <c r="M31" s="101"/>
      <c r="N31" s="101"/>
      <c r="O31" s="80"/>
      <c r="P31" s="97"/>
    </row>
    <row r="32" spans="1:16">
      <c r="A32" s="79"/>
      <c r="B32" s="103"/>
      <c r="C32" s="103"/>
      <c r="D32" s="103"/>
      <c r="E32" s="103"/>
      <c r="F32" s="103"/>
      <c r="G32" s="104"/>
      <c r="H32" s="100"/>
      <c r="I32" s="100"/>
      <c r="M32" s="101"/>
      <c r="N32" s="101"/>
      <c r="O32" s="80"/>
      <c r="P32" s="97"/>
    </row>
    <row r="33" spans="1:21">
      <c r="A33" s="79"/>
      <c r="B33" s="103"/>
      <c r="C33" s="103"/>
      <c r="D33" s="103"/>
      <c r="E33" s="103"/>
      <c r="F33" s="103"/>
      <c r="G33" s="104"/>
      <c r="H33" s="100"/>
      <c r="I33" s="100"/>
      <c r="M33" s="101"/>
      <c r="N33" s="101"/>
      <c r="O33" s="80"/>
      <c r="P33" s="97"/>
    </row>
    <row r="34" spans="1:21">
      <c r="A34" s="79"/>
      <c r="B34" s="103"/>
      <c r="C34" s="103"/>
      <c r="D34" s="103"/>
      <c r="E34" s="103"/>
      <c r="F34" s="103"/>
      <c r="G34" s="104"/>
      <c r="H34" s="100"/>
      <c r="I34" s="100"/>
      <c r="M34" s="101"/>
      <c r="N34" s="101"/>
      <c r="O34" s="80"/>
      <c r="P34" s="97"/>
    </row>
    <row r="35" spans="1:21" ht="8.25" customHeight="1">
      <c r="A35" s="79"/>
      <c r="B35" s="103"/>
      <c r="C35" s="103"/>
      <c r="D35" s="103"/>
      <c r="E35" s="103"/>
      <c r="F35" s="103"/>
      <c r="G35" s="104"/>
      <c r="H35" s="100"/>
      <c r="I35" s="100"/>
      <c r="M35" s="101"/>
      <c r="N35" s="101"/>
      <c r="O35" s="80"/>
      <c r="P35" s="97"/>
    </row>
    <row r="36" spans="1:21">
      <c r="A36" s="79"/>
      <c r="B36" s="102"/>
      <c r="C36" s="102"/>
      <c r="D36" s="102"/>
      <c r="E36" s="102"/>
      <c r="F36" s="103"/>
      <c r="G36" s="105"/>
      <c r="H36" s="100"/>
      <c r="I36" s="100"/>
      <c r="M36" s="101"/>
      <c r="N36" s="101"/>
      <c r="O36" s="80"/>
      <c r="P36" s="97"/>
    </row>
    <row r="37" spans="1:21" ht="8.25" customHeight="1" thickBot="1">
      <c r="A37" s="79"/>
      <c r="B37" s="102"/>
      <c r="C37" s="102"/>
      <c r="D37" s="102"/>
      <c r="E37" s="102"/>
      <c r="F37" s="103"/>
      <c r="G37" s="105"/>
      <c r="H37" s="100"/>
      <c r="I37" s="100"/>
      <c r="K37" s="106"/>
      <c r="L37" s="107"/>
      <c r="M37" s="108"/>
      <c r="N37" s="108"/>
      <c r="O37" s="108"/>
      <c r="P37" s="97"/>
      <c r="R37" s="101"/>
      <c r="S37" s="101"/>
      <c r="T37" s="80"/>
    </row>
    <row r="38" spans="1:21" ht="20.25" customHeight="1" thickBot="1">
      <c r="A38" s="71"/>
      <c r="B38" s="281" t="s">
        <v>81</v>
      </c>
      <c r="C38" s="282"/>
      <c r="D38" s="282"/>
      <c r="E38" s="282"/>
      <c r="F38" s="282"/>
      <c r="G38" s="282"/>
      <c r="H38" s="282"/>
      <c r="I38" s="282"/>
      <c r="J38" s="282"/>
      <c r="K38" s="282"/>
      <c r="L38" s="282"/>
      <c r="M38" s="282"/>
      <c r="N38" s="282"/>
      <c r="O38" s="283"/>
      <c r="P38" s="77"/>
      <c r="Q38" s="78"/>
      <c r="R38" s="75"/>
      <c r="S38" s="75"/>
      <c r="T38" s="67"/>
      <c r="U38" s="68"/>
    </row>
    <row r="39" spans="1:21" ht="8.25" customHeight="1" thickBot="1">
      <c r="A39" s="109"/>
      <c r="B39" s="102"/>
      <c r="C39" s="102"/>
      <c r="D39" s="102"/>
      <c r="E39" s="102"/>
      <c r="F39" s="103"/>
      <c r="G39" s="105"/>
      <c r="H39" s="100"/>
      <c r="I39" s="100"/>
      <c r="K39" s="106"/>
      <c r="L39" s="110"/>
      <c r="M39" s="108"/>
      <c r="N39" s="108"/>
      <c r="O39" s="108"/>
      <c r="P39" s="97"/>
      <c r="R39" s="101"/>
      <c r="S39" s="101"/>
      <c r="T39" s="80"/>
    </row>
    <row r="40" spans="1:21" ht="30" customHeight="1">
      <c r="A40" s="109"/>
      <c r="B40" s="111" t="s">
        <v>66</v>
      </c>
      <c r="C40" s="112" t="s">
        <v>82</v>
      </c>
      <c r="D40" s="284" t="s">
        <v>83</v>
      </c>
      <c r="E40" s="284"/>
      <c r="F40" s="284"/>
      <c r="G40" s="284"/>
      <c r="H40" s="284" t="s">
        <v>84</v>
      </c>
      <c r="I40" s="284"/>
      <c r="J40" s="284"/>
      <c r="K40" s="284"/>
      <c r="L40" s="285" t="s">
        <v>85</v>
      </c>
      <c r="M40" s="285"/>
      <c r="N40" s="286" t="s">
        <v>86</v>
      </c>
      <c r="O40" s="287"/>
      <c r="P40" s="97"/>
      <c r="R40" s="101"/>
      <c r="S40" s="101"/>
      <c r="T40" s="80"/>
    </row>
    <row r="41" spans="1:21" ht="24" customHeight="1">
      <c r="A41" s="109"/>
      <c r="B41" s="113" t="s">
        <v>87</v>
      </c>
      <c r="C41" s="114"/>
      <c r="D41" s="262"/>
      <c r="E41" s="263"/>
      <c r="F41" s="263"/>
      <c r="G41" s="263"/>
      <c r="H41" s="262"/>
      <c r="I41" s="263"/>
      <c r="J41" s="263"/>
      <c r="K41" s="263"/>
      <c r="L41" s="264"/>
      <c r="M41" s="265"/>
      <c r="N41" s="266"/>
      <c r="O41" s="267"/>
      <c r="P41" s="97"/>
      <c r="R41" s="101"/>
      <c r="S41" s="101"/>
      <c r="T41" s="80"/>
    </row>
    <row r="42" spans="1:21" ht="24" customHeight="1">
      <c r="A42" s="109"/>
      <c r="B42" s="113" t="s">
        <v>88</v>
      </c>
      <c r="C42" s="114"/>
      <c r="D42" s="262"/>
      <c r="E42" s="263"/>
      <c r="F42" s="263"/>
      <c r="G42" s="263"/>
      <c r="H42" s="278"/>
      <c r="I42" s="279"/>
      <c r="J42" s="279"/>
      <c r="K42" s="279"/>
      <c r="L42" s="280"/>
      <c r="M42" s="265"/>
      <c r="N42" s="266"/>
      <c r="O42" s="267"/>
      <c r="P42" s="97"/>
      <c r="R42" s="100"/>
      <c r="S42" s="100"/>
      <c r="T42" s="80"/>
      <c r="U42" s="103"/>
    </row>
    <row r="43" spans="1:21" ht="24" customHeight="1">
      <c r="A43" s="109"/>
      <c r="B43" s="113" t="s">
        <v>89</v>
      </c>
      <c r="C43" s="114"/>
      <c r="D43" s="262"/>
      <c r="E43" s="263"/>
      <c r="F43" s="263"/>
      <c r="G43" s="263"/>
      <c r="H43" s="262"/>
      <c r="I43" s="263"/>
      <c r="J43" s="263"/>
      <c r="K43" s="263"/>
      <c r="L43" s="264"/>
      <c r="M43" s="265"/>
      <c r="N43" s="266"/>
      <c r="O43" s="267"/>
      <c r="P43" s="97"/>
      <c r="R43" s="100"/>
      <c r="S43" s="100"/>
      <c r="T43" s="80"/>
      <c r="U43" s="103"/>
    </row>
    <row r="44" spans="1:21" ht="24" customHeight="1">
      <c r="A44" s="109"/>
      <c r="B44" s="113" t="s">
        <v>90</v>
      </c>
      <c r="C44" s="114"/>
      <c r="D44" s="262"/>
      <c r="E44" s="263"/>
      <c r="F44" s="263"/>
      <c r="G44" s="263"/>
      <c r="H44" s="268"/>
      <c r="I44" s="269"/>
      <c r="J44" s="269"/>
      <c r="K44" s="269"/>
      <c r="L44" s="264"/>
      <c r="M44" s="265"/>
      <c r="N44" s="266"/>
      <c r="O44" s="267"/>
      <c r="P44" s="97"/>
      <c r="R44" s="100"/>
      <c r="S44" s="100"/>
      <c r="T44" s="80"/>
      <c r="U44" s="103"/>
    </row>
    <row r="45" spans="1:21" ht="24" customHeight="1">
      <c r="A45" s="109"/>
      <c r="B45" s="113" t="s">
        <v>91</v>
      </c>
      <c r="C45" s="114"/>
      <c r="D45" s="262"/>
      <c r="E45" s="263"/>
      <c r="F45" s="263"/>
      <c r="G45" s="263"/>
      <c r="H45" s="268"/>
      <c r="I45" s="269"/>
      <c r="J45" s="269"/>
      <c r="K45" s="269"/>
      <c r="L45" s="264"/>
      <c r="M45" s="265"/>
      <c r="N45" s="266"/>
      <c r="O45" s="267"/>
      <c r="P45" s="97"/>
      <c r="R45" s="100"/>
      <c r="S45" s="100"/>
      <c r="T45" s="80"/>
      <c r="U45" s="103"/>
    </row>
    <row r="46" spans="1:21" ht="24" customHeight="1">
      <c r="A46" s="109"/>
      <c r="B46" s="113" t="s">
        <v>64</v>
      </c>
      <c r="C46" s="114"/>
      <c r="D46" s="262"/>
      <c r="E46" s="263"/>
      <c r="F46" s="263"/>
      <c r="G46" s="263"/>
      <c r="H46" s="268"/>
      <c r="I46" s="269"/>
      <c r="J46" s="269"/>
      <c r="K46" s="269"/>
      <c r="L46" s="264"/>
      <c r="M46" s="265"/>
      <c r="N46" s="266"/>
      <c r="O46" s="267"/>
      <c r="P46" s="97"/>
      <c r="R46" s="100"/>
      <c r="S46" s="100"/>
      <c r="T46" s="80"/>
      <c r="U46" s="103"/>
    </row>
    <row r="47" spans="1:21" ht="24" customHeight="1">
      <c r="A47" s="109"/>
      <c r="B47" s="113" t="s">
        <v>92</v>
      </c>
      <c r="C47" s="114"/>
      <c r="D47" s="262"/>
      <c r="E47" s="263"/>
      <c r="F47" s="263"/>
      <c r="G47" s="263"/>
      <c r="H47" s="262"/>
      <c r="I47" s="263"/>
      <c r="J47" s="263"/>
      <c r="K47" s="263"/>
      <c r="L47" s="264"/>
      <c r="M47" s="265"/>
      <c r="N47" s="266"/>
      <c r="O47" s="267"/>
      <c r="P47" s="97"/>
      <c r="R47" s="100"/>
      <c r="S47" s="100"/>
      <c r="T47" s="80"/>
      <c r="U47" s="103"/>
    </row>
    <row r="48" spans="1:21" ht="24" customHeight="1">
      <c r="A48" s="109"/>
      <c r="B48" s="113" t="s">
        <v>93</v>
      </c>
      <c r="C48" s="114"/>
      <c r="D48" s="262"/>
      <c r="E48" s="263"/>
      <c r="F48" s="263"/>
      <c r="G48" s="263"/>
      <c r="H48" s="262"/>
      <c r="I48" s="263"/>
      <c r="J48" s="263"/>
      <c r="K48" s="263"/>
      <c r="L48" s="264"/>
      <c r="M48" s="265"/>
      <c r="N48" s="266"/>
      <c r="O48" s="267"/>
      <c r="P48" s="97"/>
      <c r="R48" s="100"/>
      <c r="S48" s="100"/>
      <c r="T48" s="80"/>
      <c r="U48" s="103"/>
    </row>
    <row r="49" spans="1:21" ht="24" customHeight="1">
      <c r="A49" s="109"/>
      <c r="B49" s="113" t="s">
        <v>94</v>
      </c>
      <c r="C49" s="114"/>
      <c r="D49" s="262"/>
      <c r="E49" s="263"/>
      <c r="F49" s="263"/>
      <c r="G49" s="263"/>
      <c r="H49" s="262"/>
      <c r="I49" s="263"/>
      <c r="J49" s="263"/>
      <c r="K49" s="263"/>
      <c r="L49" s="264"/>
      <c r="M49" s="265"/>
      <c r="N49" s="266"/>
      <c r="O49" s="267"/>
      <c r="P49" s="97"/>
      <c r="R49" s="100"/>
      <c r="S49" s="100"/>
      <c r="T49" s="80"/>
      <c r="U49" s="103"/>
    </row>
    <row r="50" spans="1:21" ht="24" customHeight="1">
      <c r="A50" s="109"/>
      <c r="B50" s="113" t="s">
        <v>95</v>
      </c>
      <c r="C50" s="114"/>
      <c r="D50" s="262"/>
      <c r="E50" s="263"/>
      <c r="F50" s="263"/>
      <c r="G50" s="263"/>
      <c r="H50" s="262"/>
      <c r="I50" s="263"/>
      <c r="J50" s="263"/>
      <c r="K50" s="263"/>
      <c r="L50" s="264"/>
      <c r="M50" s="265"/>
      <c r="N50" s="266"/>
      <c r="O50" s="267"/>
      <c r="P50" s="97"/>
      <c r="R50" s="100"/>
      <c r="S50" s="100"/>
      <c r="T50" s="80"/>
      <c r="U50" s="103"/>
    </row>
    <row r="51" spans="1:21" ht="24" customHeight="1">
      <c r="A51" s="109"/>
      <c r="B51" s="113" t="s">
        <v>96</v>
      </c>
      <c r="C51" s="114"/>
      <c r="D51" s="262"/>
      <c r="E51" s="263"/>
      <c r="F51" s="263"/>
      <c r="G51" s="263"/>
      <c r="H51" s="262"/>
      <c r="I51" s="263"/>
      <c r="J51" s="263"/>
      <c r="K51" s="263"/>
      <c r="L51" s="264"/>
      <c r="M51" s="265"/>
      <c r="N51" s="266"/>
      <c r="O51" s="267"/>
      <c r="P51" s="97"/>
      <c r="R51" s="100"/>
      <c r="S51" s="100"/>
      <c r="T51" s="80"/>
      <c r="U51" s="103"/>
    </row>
    <row r="52" spans="1:21" ht="24" customHeight="1" thickBot="1">
      <c r="A52" s="109"/>
      <c r="B52" s="115" t="s">
        <v>97</v>
      </c>
      <c r="C52" s="116"/>
      <c r="D52" s="274"/>
      <c r="E52" s="274"/>
      <c r="F52" s="274"/>
      <c r="G52" s="274"/>
      <c r="H52" s="274"/>
      <c r="I52" s="274"/>
      <c r="J52" s="274"/>
      <c r="K52" s="274"/>
      <c r="L52" s="275"/>
      <c r="M52" s="275"/>
      <c r="N52" s="276"/>
      <c r="O52" s="277"/>
      <c r="P52" s="97"/>
      <c r="R52" s="100"/>
      <c r="S52" s="100"/>
      <c r="T52" s="80"/>
      <c r="U52" s="103"/>
    </row>
    <row r="53" spans="1:21" ht="19" thickBot="1">
      <c r="A53" s="79"/>
      <c r="B53" s="80"/>
      <c r="C53" s="80"/>
      <c r="D53" s="80"/>
      <c r="E53" s="81"/>
      <c r="F53" s="80"/>
      <c r="G53" s="80"/>
      <c r="H53" s="80"/>
      <c r="I53" s="80"/>
      <c r="J53" s="82"/>
      <c r="K53" s="292"/>
      <c r="L53" s="292"/>
      <c r="M53" s="292"/>
      <c r="N53" s="292"/>
      <c r="O53" s="80"/>
      <c r="P53" s="118"/>
      <c r="Q53" s="82"/>
      <c r="R53" s="80"/>
      <c r="S53" s="80"/>
      <c r="T53" s="80"/>
      <c r="U53" s="80"/>
    </row>
    <row r="54" spans="1:21" ht="69" customHeight="1">
      <c r="A54" s="79"/>
      <c r="B54" s="253" t="s">
        <v>98</v>
      </c>
      <c r="C54" s="254"/>
      <c r="D54" s="254"/>
      <c r="E54" s="254"/>
      <c r="F54" s="254"/>
      <c r="G54" s="254"/>
      <c r="H54" s="254"/>
      <c r="I54" s="254"/>
      <c r="J54" s="254"/>
      <c r="K54" s="254"/>
      <c r="L54" s="254"/>
      <c r="M54" s="254"/>
      <c r="N54" s="254"/>
      <c r="O54" s="255"/>
      <c r="P54" s="118"/>
      <c r="Q54" s="82"/>
      <c r="R54" s="80"/>
      <c r="S54" s="80"/>
      <c r="T54" s="80"/>
      <c r="U54" s="80"/>
    </row>
    <row r="55" spans="1:21" ht="25.5" customHeight="1">
      <c r="A55" s="79"/>
      <c r="B55" s="256"/>
      <c r="C55" s="257"/>
      <c r="D55" s="257"/>
      <c r="E55" s="257"/>
      <c r="F55" s="257"/>
      <c r="G55" s="257"/>
      <c r="H55" s="257"/>
      <c r="I55" s="257"/>
      <c r="J55" s="257"/>
      <c r="K55" s="257"/>
      <c r="L55" s="257"/>
      <c r="M55" s="257"/>
      <c r="N55" s="257"/>
      <c r="O55" s="258"/>
      <c r="P55" s="118"/>
      <c r="Q55" s="82"/>
      <c r="R55" s="80"/>
      <c r="S55" s="80"/>
      <c r="T55" s="80"/>
      <c r="U55" s="80"/>
    </row>
    <row r="56" spans="1:21" ht="19" thickBot="1">
      <c r="A56" s="79"/>
      <c r="B56" s="259"/>
      <c r="C56" s="260"/>
      <c r="D56" s="260"/>
      <c r="E56" s="260"/>
      <c r="F56" s="260"/>
      <c r="G56" s="260"/>
      <c r="H56" s="260"/>
      <c r="I56" s="260"/>
      <c r="J56" s="260"/>
      <c r="K56" s="260"/>
      <c r="L56" s="260"/>
      <c r="M56" s="260"/>
      <c r="N56" s="260"/>
      <c r="O56" s="261"/>
      <c r="P56" s="118"/>
      <c r="Q56" s="82"/>
      <c r="R56" s="80"/>
      <c r="S56" s="80"/>
      <c r="T56" s="80"/>
      <c r="U56" s="80"/>
    </row>
    <row r="57" spans="1:21" ht="9" customHeight="1">
      <c r="A57" s="79"/>
      <c r="B57" s="104"/>
      <c r="D57" s="80"/>
      <c r="E57" s="81"/>
      <c r="F57" s="80"/>
      <c r="G57" s="80"/>
      <c r="H57" s="80"/>
      <c r="I57" s="80"/>
      <c r="J57" s="82"/>
      <c r="K57" s="117"/>
      <c r="L57" s="117"/>
      <c r="M57" s="117"/>
      <c r="N57" s="117"/>
      <c r="O57" s="80"/>
      <c r="P57" s="118"/>
      <c r="Q57" s="82"/>
      <c r="R57" s="80"/>
      <c r="S57" s="80"/>
      <c r="T57" s="80"/>
      <c r="U57" s="80"/>
    </row>
    <row r="58" spans="1:21" ht="5.25" customHeight="1" thickBot="1">
      <c r="A58" s="119"/>
      <c r="B58" s="120"/>
      <c r="C58" s="121"/>
      <c r="D58" s="122"/>
      <c r="E58" s="123"/>
      <c r="F58" s="122"/>
      <c r="G58" s="122"/>
      <c r="H58" s="122"/>
      <c r="I58" s="122"/>
      <c r="J58" s="124"/>
      <c r="K58" s="125"/>
      <c r="L58" s="125"/>
      <c r="M58" s="125"/>
      <c r="N58" s="125"/>
      <c r="O58" s="122"/>
      <c r="P58" s="126"/>
      <c r="Q58" s="82"/>
      <c r="R58" s="80"/>
      <c r="S58" s="80"/>
      <c r="T58" s="80"/>
      <c r="U58" s="80"/>
    </row>
  </sheetData>
  <mergeCells count="74">
    <mergeCell ref="K53:N53"/>
    <mergeCell ref="D41:G41"/>
    <mergeCell ref="A1:P1"/>
    <mergeCell ref="D48:G48"/>
    <mergeCell ref="H48:K48"/>
    <mergeCell ref="M17:M18"/>
    <mergeCell ref="B3:D3"/>
    <mergeCell ref="B4:D4"/>
    <mergeCell ref="B5:D5"/>
    <mergeCell ref="B6:D6"/>
    <mergeCell ref="B7:D7"/>
    <mergeCell ref="L7:M7"/>
    <mergeCell ref="E3:O3"/>
    <mergeCell ref="E4:O4"/>
    <mergeCell ref="E5:O5"/>
    <mergeCell ref="E6:O6"/>
    <mergeCell ref="E7:G7"/>
    <mergeCell ref="J7:K7"/>
    <mergeCell ref="N7:O7"/>
    <mergeCell ref="H7:I7"/>
    <mergeCell ref="B9:O9"/>
    <mergeCell ref="B38:O38"/>
    <mergeCell ref="D40:G40"/>
    <mergeCell ref="H40:K40"/>
    <mergeCell ref="L40:M40"/>
    <mergeCell ref="N40:O40"/>
    <mergeCell ref="N17:N18"/>
    <mergeCell ref="O12:O15"/>
    <mergeCell ref="D52:G52"/>
    <mergeCell ref="H52:K52"/>
    <mergeCell ref="L52:M52"/>
    <mergeCell ref="N52:O52"/>
    <mergeCell ref="H41:K41"/>
    <mergeCell ref="L41:M41"/>
    <mergeCell ref="N41:O41"/>
    <mergeCell ref="D42:G42"/>
    <mergeCell ref="H42:K42"/>
    <mergeCell ref="L42:M42"/>
    <mergeCell ref="N42:O42"/>
    <mergeCell ref="D43:G43"/>
    <mergeCell ref="H43:K43"/>
    <mergeCell ref="L43:M43"/>
    <mergeCell ref="N43:O43"/>
    <mergeCell ref="D51:G51"/>
    <mergeCell ref="N51:O51"/>
    <mergeCell ref="D44:G44"/>
    <mergeCell ref="H44:K44"/>
    <mergeCell ref="L44:M44"/>
    <mergeCell ref="N44:O44"/>
    <mergeCell ref="D45:G45"/>
    <mergeCell ref="H45:K45"/>
    <mergeCell ref="L45:M45"/>
    <mergeCell ref="N45:O45"/>
    <mergeCell ref="D46:G46"/>
    <mergeCell ref="H46:K46"/>
    <mergeCell ref="L46:M46"/>
    <mergeCell ref="N46:O46"/>
    <mergeCell ref="D47:G47"/>
    <mergeCell ref="B54:O56"/>
    <mergeCell ref="H47:K47"/>
    <mergeCell ref="L47:M47"/>
    <mergeCell ref="N47:O47"/>
    <mergeCell ref="D50:G50"/>
    <mergeCell ref="H50:K50"/>
    <mergeCell ref="L50:M50"/>
    <mergeCell ref="N50:O50"/>
    <mergeCell ref="L48:M48"/>
    <mergeCell ref="N48:O48"/>
    <mergeCell ref="D49:G49"/>
    <mergeCell ref="H49:K49"/>
    <mergeCell ref="L49:M49"/>
    <mergeCell ref="N49:O49"/>
    <mergeCell ref="H51:K51"/>
    <mergeCell ref="L51:M51"/>
  </mergeCells>
  <phoneticPr fontId="13" type="noConversion"/>
  <conditionalFormatting sqref="C2">
    <cfRule type="expression" dxfId="27" priority="11" stopIfTrue="1">
      <formula>B2=1</formula>
    </cfRule>
    <cfRule type="expression" dxfId="26" priority="12" stopIfTrue="1">
      <formula>B2=2</formula>
    </cfRule>
    <cfRule type="expression" dxfId="25" priority="13" stopIfTrue="1">
      <formula>B2=3</formula>
    </cfRule>
  </conditionalFormatting>
  <conditionalFormatting sqref="K2">
    <cfRule type="expression" dxfId="24" priority="17" stopIfTrue="1">
      <formula>J3=1</formula>
    </cfRule>
    <cfRule type="expression" dxfId="23" priority="18" stopIfTrue="1">
      <formula>J3=2</formula>
    </cfRule>
    <cfRule type="expression" dxfId="22" priority="19" stopIfTrue="1">
      <formula>J3=3</formula>
    </cfRule>
  </conditionalFormatting>
  <conditionalFormatting sqref="O12">
    <cfRule type="cellIs" dxfId="21" priority="1" operator="between">
      <formula>0</formula>
      <formula>73</formula>
    </cfRule>
    <cfRule type="cellIs" dxfId="20" priority="2" operator="between">
      <formula>74</formula>
      <formula>83</formula>
    </cfRule>
    <cfRule type="cellIs" dxfId="19" priority="3" operator="greaterThanOrEqual">
      <formula>86</formula>
    </cfRule>
  </conditionalFormatting>
  <dataValidations count="1">
    <dataValidation type="list" allowBlank="1" showInputMessage="1" showErrorMessage="1" sqref="N7:O7" xr:uid="{00000000-0002-0000-0100-000000000000}">
      <formula1>"Enero, Febrero, Marzo, Abril, Mayo, Junio, Julio, Agosto, Setiembre, Octubre, Noviembre, Diciembre"</formula1>
    </dataValidation>
  </dataValidations>
  <pageMargins left="0.7" right="0.7" top="0.75" bottom="0.75" header="0.3" footer="0.3"/>
  <pageSetup paperSize="9" scale="5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AG32"/>
  <sheetViews>
    <sheetView showGridLines="0" showWhiteSpace="0" topLeftCell="A13" zoomScale="70" zoomScaleNormal="70" zoomScalePageLayoutView="70" workbookViewId="0">
      <selection activeCell="Q13" sqref="Q13:Q22"/>
    </sheetView>
  </sheetViews>
  <sheetFormatPr baseColWidth="10" defaultColWidth="11.453125" defaultRowHeight="12.5"/>
  <cols>
    <col min="1" max="1" width="4" style="33" customWidth="1"/>
    <col min="2" max="2" width="17.54296875" style="33" customWidth="1"/>
    <col min="3" max="3" width="32.453125" style="33" customWidth="1"/>
    <col min="4" max="4" width="23.81640625" style="33" customWidth="1"/>
    <col min="5" max="5" width="15.26953125" style="33" customWidth="1"/>
    <col min="6" max="17" width="5.7265625" style="33" customWidth="1"/>
    <col min="18" max="18" width="18.7265625" style="33" customWidth="1"/>
    <col min="19" max="21" width="14.81640625" style="33" customWidth="1"/>
    <col min="22" max="22" width="17.26953125" style="33" customWidth="1"/>
    <col min="23" max="23" width="17.54296875" style="33" customWidth="1"/>
    <col min="24" max="24" width="14.81640625" style="33" customWidth="1"/>
    <col min="25" max="25" width="25.81640625" style="33" customWidth="1"/>
    <col min="26" max="26" width="16" style="33" customWidth="1"/>
    <col min="27" max="27" width="10.26953125" style="33" customWidth="1"/>
    <col min="28" max="258" width="10.81640625" style="33"/>
    <col min="259" max="259" width="4" style="33" customWidth="1"/>
    <col min="260" max="260" width="17.54296875" style="33" customWidth="1"/>
    <col min="261" max="261" width="21.7265625" style="33" customWidth="1"/>
    <col min="262" max="262" width="23.81640625" style="33" customWidth="1"/>
    <col min="263" max="263" width="15.26953125" style="33" customWidth="1"/>
    <col min="264" max="275" width="5.7265625" style="33" customWidth="1"/>
    <col min="276" max="276" width="14.81640625" style="33" customWidth="1"/>
    <col min="277" max="277" width="17.26953125" style="33" customWidth="1"/>
    <col min="278" max="278" width="17.54296875" style="33" customWidth="1"/>
    <col min="279" max="279" width="14.81640625" style="33" customWidth="1"/>
    <col min="280" max="280" width="21.453125" style="33" customWidth="1"/>
    <col min="281" max="281" width="16" style="33" customWidth="1"/>
    <col min="282" max="282" width="10.26953125" style="33" customWidth="1"/>
    <col min="283" max="514" width="10.81640625" style="33"/>
    <col min="515" max="515" width="4" style="33" customWidth="1"/>
    <col min="516" max="516" width="17.54296875" style="33" customWidth="1"/>
    <col min="517" max="517" width="21.7265625" style="33" customWidth="1"/>
    <col min="518" max="518" width="23.81640625" style="33" customWidth="1"/>
    <col min="519" max="519" width="15.26953125" style="33" customWidth="1"/>
    <col min="520" max="531" width="5.7265625" style="33" customWidth="1"/>
    <col min="532" max="532" width="14.81640625" style="33" customWidth="1"/>
    <col min="533" max="533" width="17.26953125" style="33" customWidth="1"/>
    <col min="534" max="534" width="17.54296875" style="33" customWidth="1"/>
    <col min="535" max="535" width="14.81640625" style="33" customWidth="1"/>
    <col min="536" max="536" width="21.453125" style="33" customWidth="1"/>
    <col min="537" max="537" width="16" style="33" customWidth="1"/>
    <col min="538" max="538" width="10.26953125" style="33" customWidth="1"/>
    <col min="539" max="770" width="10.81640625" style="33"/>
    <col min="771" max="771" width="4" style="33" customWidth="1"/>
    <col min="772" max="772" width="17.54296875" style="33" customWidth="1"/>
    <col min="773" max="773" width="21.7265625" style="33" customWidth="1"/>
    <col min="774" max="774" width="23.81640625" style="33" customWidth="1"/>
    <col min="775" max="775" width="15.26953125" style="33" customWidth="1"/>
    <col min="776" max="787" width="5.7265625" style="33" customWidth="1"/>
    <col min="788" max="788" width="14.81640625" style="33" customWidth="1"/>
    <col min="789" max="789" width="17.26953125" style="33" customWidth="1"/>
    <col min="790" max="790" width="17.54296875" style="33" customWidth="1"/>
    <col min="791" max="791" width="14.81640625" style="33" customWidth="1"/>
    <col min="792" max="792" width="21.453125" style="33" customWidth="1"/>
    <col min="793" max="793" width="16" style="33" customWidth="1"/>
    <col min="794" max="794" width="10.26953125" style="33" customWidth="1"/>
    <col min="795" max="1026" width="10.81640625" style="33"/>
    <col min="1027" max="1027" width="4" style="33" customWidth="1"/>
    <col min="1028" max="1028" width="17.54296875" style="33" customWidth="1"/>
    <col min="1029" max="1029" width="21.7265625" style="33" customWidth="1"/>
    <col min="1030" max="1030" width="23.81640625" style="33" customWidth="1"/>
    <col min="1031" max="1031" width="15.26953125" style="33" customWidth="1"/>
    <col min="1032" max="1043" width="5.7265625" style="33" customWidth="1"/>
    <col min="1044" max="1044" width="14.81640625" style="33" customWidth="1"/>
    <col min="1045" max="1045" width="17.26953125" style="33" customWidth="1"/>
    <col min="1046" max="1046" width="17.54296875" style="33" customWidth="1"/>
    <col min="1047" max="1047" width="14.81640625" style="33" customWidth="1"/>
    <col min="1048" max="1048" width="21.453125" style="33" customWidth="1"/>
    <col min="1049" max="1049" width="16" style="33" customWidth="1"/>
    <col min="1050" max="1050" width="10.26953125" style="33" customWidth="1"/>
    <col min="1051" max="1282" width="10.81640625" style="33"/>
    <col min="1283" max="1283" width="4" style="33" customWidth="1"/>
    <col min="1284" max="1284" width="17.54296875" style="33" customWidth="1"/>
    <col min="1285" max="1285" width="21.7265625" style="33" customWidth="1"/>
    <col min="1286" max="1286" width="23.81640625" style="33" customWidth="1"/>
    <col min="1287" max="1287" width="15.26953125" style="33" customWidth="1"/>
    <col min="1288" max="1299" width="5.7265625" style="33" customWidth="1"/>
    <col min="1300" max="1300" width="14.81640625" style="33" customWidth="1"/>
    <col min="1301" max="1301" width="17.26953125" style="33" customWidth="1"/>
    <col min="1302" max="1302" width="17.54296875" style="33" customWidth="1"/>
    <col min="1303" max="1303" width="14.81640625" style="33" customWidth="1"/>
    <col min="1304" max="1304" width="21.453125" style="33" customWidth="1"/>
    <col min="1305" max="1305" width="16" style="33" customWidth="1"/>
    <col min="1306" max="1306" width="10.26953125" style="33" customWidth="1"/>
    <col min="1307" max="1538" width="10.81640625" style="33"/>
    <col min="1539" max="1539" width="4" style="33" customWidth="1"/>
    <col min="1540" max="1540" width="17.54296875" style="33" customWidth="1"/>
    <col min="1541" max="1541" width="21.7265625" style="33" customWidth="1"/>
    <col min="1542" max="1542" width="23.81640625" style="33" customWidth="1"/>
    <col min="1543" max="1543" width="15.26953125" style="33" customWidth="1"/>
    <col min="1544" max="1555" width="5.7265625" style="33" customWidth="1"/>
    <col min="1556" max="1556" width="14.81640625" style="33" customWidth="1"/>
    <col min="1557" max="1557" width="17.26953125" style="33" customWidth="1"/>
    <col min="1558" max="1558" width="17.54296875" style="33" customWidth="1"/>
    <col min="1559" max="1559" width="14.81640625" style="33" customWidth="1"/>
    <col min="1560" max="1560" width="21.453125" style="33" customWidth="1"/>
    <col min="1561" max="1561" width="16" style="33" customWidth="1"/>
    <col min="1562" max="1562" width="10.26953125" style="33" customWidth="1"/>
    <col min="1563" max="1794" width="10.81640625" style="33"/>
    <col min="1795" max="1795" width="4" style="33" customWidth="1"/>
    <col min="1796" max="1796" width="17.54296875" style="33" customWidth="1"/>
    <col min="1797" max="1797" width="21.7265625" style="33" customWidth="1"/>
    <col min="1798" max="1798" width="23.81640625" style="33" customWidth="1"/>
    <col min="1799" max="1799" width="15.26953125" style="33" customWidth="1"/>
    <col min="1800" max="1811" width="5.7265625" style="33" customWidth="1"/>
    <col min="1812" max="1812" width="14.81640625" style="33" customWidth="1"/>
    <col min="1813" max="1813" width="17.26953125" style="33" customWidth="1"/>
    <col min="1814" max="1814" width="17.54296875" style="33" customWidth="1"/>
    <col min="1815" max="1815" width="14.81640625" style="33" customWidth="1"/>
    <col min="1816" max="1816" width="21.453125" style="33" customWidth="1"/>
    <col min="1817" max="1817" width="16" style="33" customWidth="1"/>
    <col min="1818" max="1818" width="10.26953125" style="33" customWidth="1"/>
    <col min="1819" max="2050" width="10.81640625" style="33"/>
    <col min="2051" max="2051" width="4" style="33" customWidth="1"/>
    <col min="2052" max="2052" width="17.54296875" style="33" customWidth="1"/>
    <col min="2053" max="2053" width="21.7265625" style="33" customWidth="1"/>
    <col min="2054" max="2054" width="23.81640625" style="33" customWidth="1"/>
    <col min="2055" max="2055" width="15.26953125" style="33" customWidth="1"/>
    <col min="2056" max="2067" width="5.7265625" style="33" customWidth="1"/>
    <col min="2068" max="2068" width="14.81640625" style="33" customWidth="1"/>
    <col min="2069" max="2069" width="17.26953125" style="33" customWidth="1"/>
    <col min="2070" max="2070" width="17.54296875" style="33" customWidth="1"/>
    <col min="2071" max="2071" width="14.81640625" style="33" customWidth="1"/>
    <col min="2072" max="2072" width="21.453125" style="33" customWidth="1"/>
    <col min="2073" max="2073" width="16" style="33" customWidth="1"/>
    <col min="2074" max="2074" width="10.26953125" style="33" customWidth="1"/>
    <col min="2075" max="2306" width="10.81640625" style="33"/>
    <col min="2307" max="2307" width="4" style="33" customWidth="1"/>
    <col min="2308" max="2308" width="17.54296875" style="33" customWidth="1"/>
    <col min="2309" max="2309" width="21.7265625" style="33" customWidth="1"/>
    <col min="2310" max="2310" width="23.81640625" style="33" customWidth="1"/>
    <col min="2311" max="2311" width="15.26953125" style="33" customWidth="1"/>
    <col min="2312" max="2323" width="5.7265625" style="33" customWidth="1"/>
    <col min="2324" max="2324" width="14.81640625" style="33" customWidth="1"/>
    <col min="2325" max="2325" width="17.26953125" style="33" customWidth="1"/>
    <col min="2326" max="2326" width="17.54296875" style="33" customWidth="1"/>
    <col min="2327" max="2327" width="14.81640625" style="33" customWidth="1"/>
    <col min="2328" max="2328" width="21.453125" style="33" customWidth="1"/>
    <col min="2329" max="2329" width="16" style="33" customWidth="1"/>
    <col min="2330" max="2330" width="10.26953125" style="33" customWidth="1"/>
    <col min="2331" max="2562" width="10.81640625" style="33"/>
    <col min="2563" max="2563" width="4" style="33" customWidth="1"/>
    <col min="2564" max="2564" width="17.54296875" style="33" customWidth="1"/>
    <col min="2565" max="2565" width="21.7265625" style="33" customWidth="1"/>
    <col min="2566" max="2566" width="23.81640625" style="33" customWidth="1"/>
    <col min="2567" max="2567" width="15.26953125" style="33" customWidth="1"/>
    <col min="2568" max="2579" width="5.7265625" style="33" customWidth="1"/>
    <col min="2580" max="2580" width="14.81640625" style="33" customWidth="1"/>
    <col min="2581" max="2581" width="17.26953125" style="33" customWidth="1"/>
    <col min="2582" max="2582" width="17.54296875" style="33" customWidth="1"/>
    <col min="2583" max="2583" width="14.81640625" style="33" customWidth="1"/>
    <col min="2584" max="2584" width="21.453125" style="33" customWidth="1"/>
    <col min="2585" max="2585" width="16" style="33" customWidth="1"/>
    <col min="2586" max="2586" width="10.26953125" style="33" customWidth="1"/>
    <col min="2587" max="2818" width="10.81640625" style="33"/>
    <col min="2819" max="2819" width="4" style="33" customWidth="1"/>
    <col min="2820" max="2820" width="17.54296875" style="33" customWidth="1"/>
    <col min="2821" max="2821" width="21.7265625" style="33" customWidth="1"/>
    <col min="2822" max="2822" width="23.81640625" style="33" customWidth="1"/>
    <col min="2823" max="2823" width="15.26953125" style="33" customWidth="1"/>
    <col min="2824" max="2835" width="5.7265625" style="33" customWidth="1"/>
    <col min="2836" max="2836" width="14.81640625" style="33" customWidth="1"/>
    <col min="2837" max="2837" width="17.26953125" style="33" customWidth="1"/>
    <col min="2838" max="2838" width="17.54296875" style="33" customWidth="1"/>
    <col min="2839" max="2839" width="14.81640625" style="33" customWidth="1"/>
    <col min="2840" max="2840" width="21.453125" style="33" customWidth="1"/>
    <col min="2841" max="2841" width="16" style="33" customWidth="1"/>
    <col min="2842" max="2842" width="10.26953125" style="33" customWidth="1"/>
    <col min="2843" max="3074" width="10.81640625" style="33"/>
    <col min="3075" max="3075" width="4" style="33" customWidth="1"/>
    <col min="3076" max="3076" width="17.54296875" style="33" customWidth="1"/>
    <col min="3077" max="3077" width="21.7265625" style="33" customWidth="1"/>
    <col min="3078" max="3078" width="23.81640625" style="33" customWidth="1"/>
    <col min="3079" max="3079" width="15.26953125" style="33" customWidth="1"/>
    <col min="3080" max="3091" width="5.7265625" style="33" customWidth="1"/>
    <col min="3092" max="3092" width="14.81640625" style="33" customWidth="1"/>
    <col min="3093" max="3093" width="17.26953125" style="33" customWidth="1"/>
    <col min="3094" max="3094" width="17.54296875" style="33" customWidth="1"/>
    <col min="3095" max="3095" width="14.81640625" style="33" customWidth="1"/>
    <col min="3096" max="3096" width="21.453125" style="33" customWidth="1"/>
    <col min="3097" max="3097" width="16" style="33" customWidth="1"/>
    <col min="3098" max="3098" width="10.26953125" style="33" customWidth="1"/>
    <col min="3099" max="3330" width="10.81640625" style="33"/>
    <col min="3331" max="3331" width="4" style="33" customWidth="1"/>
    <col min="3332" max="3332" width="17.54296875" style="33" customWidth="1"/>
    <col min="3333" max="3333" width="21.7265625" style="33" customWidth="1"/>
    <col min="3334" max="3334" width="23.81640625" style="33" customWidth="1"/>
    <col min="3335" max="3335" width="15.26953125" style="33" customWidth="1"/>
    <col min="3336" max="3347" width="5.7265625" style="33" customWidth="1"/>
    <col min="3348" max="3348" width="14.81640625" style="33" customWidth="1"/>
    <col min="3349" max="3349" width="17.26953125" style="33" customWidth="1"/>
    <col min="3350" max="3350" width="17.54296875" style="33" customWidth="1"/>
    <col min="3351" max="3351" width="14.81640625" style="33" customWidth="1"/>
    <col min="3352" max="3352" width="21.453125" style="33" customWidth="1"/>
    <col min="3353" max="3353" width="16" style="33" customWidth="1"/>
    <col min="3354" max="3354" width="10.26953125" style="33" customWidth="1"/>
    <col min="3355" max="3586" width="10.81640625" style="33"/>
    <col min="3587" max="3587" width="4" style="33" customWidth="1"/>
    <col min="3588" max="3588" width="17.54296875" style="33" customWidth="1"/>
    <col min="3589" max="3589" width="21.7265625" style="33" customWidth="1"/>
    <col min="3590" max="3590" width="23.81640625" style="33" customWidth="1"/>
    <col min="3591" max="3591" width="15.26953125" style="33" customWidth="1"/>
    <col min="3592" max="3603" width="5.7265625" style="33" customWidth="1"/>
    <col min="3604" max="3604" width="14.81640625" style="33" customWidth="1"/>
    <col min="3605" max="3605" width="17.26953125" style="33" customWidth="1"/>
    <col min="3606" max="3606" width="17.54296875" style="33" customWidth="1"/>
    <col min="3607" max="3607" width="14.81640625" style="33" customWidth="1"/>
    <col min="3608" max="3608" width="21.453125" style="33" customWidth="1"/>
    <col min="3609" max="3609" width="16" style="33" customWidth="1"/>
    <col min="3610" max="3610" width="10.26953125" style="33" customWidth="1"/>
    <col min="3611" max="3842" width="10.81640625" style="33"/>
    <col min="3843" max="3843" width="4" style="33" customWidth="1"/>
    <col min="3844" max="3844" width="17.54296875" style="33" customWidth="1"/>
    <col min="3845" max="3845" width="21.7265625" style="33" customWidth="1"/>
    <col min="3846" max="3846" width="23.81640625" style="33" customWidth="1"/>
    <col min="3847" max="3847" width="15.26953125" style="33" customWidth="1"/>
    <col min="3848" max="3859" width="5.7265625" style="33" customWidth="1"/>
    <col min="3860" max="3860" width="14.81640625" style="33" customWidth="1"/>
    <col min="3861" max="3861" width="17.26953125" style="33" customWidth="1"/>
    <col min="3862" max="3862" width="17.54296875" style="33" customWidth="1"/>
    <col min="3863" max="3863" width="14.81640625" style="33" customWidth="1"/>
    <col min="3864" max="3864" width="21.453125" style="33" customWidth="1"/>
    <col min="3865" max="3865" width="16" style="33" customWidth="1"/>
    <col min="3866" max="3866" width="10.26953125" style="33" customWidth="1"/>
    <col min="3867" max="4098" width="10.81640625" style="33"/>
    <col min="4099" max="4099" width="4" style="33" customWidth="1"/>
    <col min="4100" max="4100" width="17.54296875" style="33" customWidth="1"/>
    <col min="4101" max="4101" width="21.7265625" style="33" customWidth="1"/>
    <col min="4102" max="4102" width="23.81640625" style="33" customWidth="1"/>
    <col min="4103" max="4103" width="15.26953125" style="33" customWidth="1"/>
    <col min="4104" max="4115" width="5.7265625" style="33" customWidth="1"/>
    <col min="4116" max="4116" width="14.81640625" style="33" customWidth="1"/>
    <col min="4117" max="4117" width="17.26953125" style="33" customWidth="1"/>
    <col min="4118" max="4118" width="17.54296875" style="33" customWidth="1"/>
    <col min="4119" max="4119" width="14.81640625" style="33" customWidth="1"/>
    <col min="4120" max="4120" width="21.453125" style="33" customWidth="1"/>
    <col min="4121" max="4121" width="16" style="33" customWidth="1"/>
    <col min="4122" max="4122" width="10.26953125" style="33" customWidth="1"/>
    <col min="4123" max="4354" width="10.81640625" style="33"/>
    <col min="4355" max="4355" width="4" style="33" customWidth="1"/>
    <col min="4356" max="4356" width="17.54296875" style="33" customWidth="1"/>
    <col min="4357" max="4357" width="21.7265625" style="33" customWidth="1"/>
    <col min="4358" max="4358" width="23.81640625" style="33" customWidth="1"/>
    <col min="4359" max="4359" width="15.26953125" style="33" customWidth="1"/>
    <col min="4360" max="4371" width="5.7265625" style="33" customWidth="1"/>
    <col min="4372" max="4372" width="14.81640625" style="33" customWidth="1"/>
    <col min="4373" max="4373" width="17.26953125" style="33" customWidth="1"/>
    <col min="4374" max="4374" width="17.54296875" style="33" customWidth="1"/>
    <col min="4375" max="4375" width="14.81640625" style="33" customWidth="1"/>
    <col min="4376" max="4376" width="21.453125" style="33" customWidth="1"/>
    <col min="4377" max="4377" width="16" style="33" customWidth="1"/>
    <col min="4378" max="4378" width="10.26953125" style="33" customWidth="1"/>
    <col min="4379" max="4610" width="10.81640625" style="33"/>
    <col min="4611" max="4611" width="4" style="33" customWidth="1"/>
    <col min="4612" max="4612" width="17.54296875" style="33" customWidth="1"/>
    <col min="4613" max="4613" width="21.7265625" style="33" customWidth="1"/>
    <col min="4614" max="4614" width="23.81640625" style="33" customWidth="1"/>
    <col min="4615" max="4615" width="15.26953125" style="33" customWidth="1"/>
    <col min="4616" max="4627" width="5.7265625" style="33" customWidth="1"/>
    <col min="4628" max="4628" width="14.81640625" style="33" customWidth="1"/>
    <col min="4629" max="4629" width="17.26953125" style="33" customWidth="1"/>
    <col min="4630" max="4630" width="17.54296875" style="33" customWidth="1"/>
    <col min="4631" max="4631" width="14.81640625" style="33" customWidth="1"/>
    <col min="4632" max="4632" width="21.453125" style="33" customWidth="1"/>
    <col min="4633" max="4633" width="16" style="33" customWidth="1"/>
    <col min="4634" max="4634" width="10.26953125" style="33" customWidth="1"/>
    <col min="4635" max="4866" width="10.81640625" style="33"/>
    <col min="4867" max="4867" width="4" style="33" customWidth="1"/>
    <col min="4868" max="4868" width="17.54296875" style="33" customWidth="1"/>
    <col min="4869" max="4869" width="21.7265625" style="33" customWidth="1"/>
    <col min="4870" max="4870" width="23.81640625" style="33" customWidth="1"/>
    <col min="4871" max="4871" width="15.26953125" style="33" customWidth="1"/>
    <col min="4872" max="4883" width="5.7265625" style="33" customWidth="1"/>
    <col min="4884" max="4884" width="14.81640625" style="33" customWidth="1"/>
    <col min="4885" max="4885" width="17.26953125" style="33" customWidth="1"/>
    <col min="4886" max="4886" width="17.54296875" style="33" customWidth="1"/>
    <col min="4887" max="4887" width="14.81640625" style="33" customWidth="1"/>
    <col min="4888" max="4888" width="21.453125" style="33" customWidth="1"/>
    <col min="4889" max="4889" width="16" style="33" customWidth="1"/>
    <col min="4890" max="4890" width="10.26953125" style="33" customWidth="1"/>
    <col min="4891" max="5122" width="10.81640625" style="33"/>
    <col min="5123" max="5123" width="4" style="33" customWidth="1"/>
    <col min="5124" max="5124" width="17.54296875" style="33" customWidth="1"/>
    <col min="5125" max="5125" width="21.7265625" style="33" customWidth="1"/>
    <col min="5126" max="5126" width="23.81640625" style="33" customWidth="1"/>
    <col min="5127" max="5127" width="15.26953125" style="33" customWidth="1"/>
    <col min="5128" max="5139" width="5.7265625" style="33" customWidth="1"/>
    <col min="5140" max="5140" width="14.81640625" style="33" customWidth="1"/>
    <col min="5141" max="5141" width="17.26953125" style="33" customWidth="1"/>
    <col min="5142" max="5142" width="17.54296875" style="33" customWidth="1"/>
    <col min="5143" max="5143" width="14.81640625" style="33" customWidth="1"/>
    <col min="5144" max="5144" width="21.453125" style="33" customWidth="1"/>
    <col min="5145" max="5145" width="16" style="33" customWidth="1"/>
    <col min="5146" max="5146" width="10.26953125" style="33" customWidth="1"/>
    <col min="5147" max="5378" width="10.81640625" style="33"/>
    <col min="5379" max="5379" width="4" style="33" customWidth="1"/>
    <col min="5380" max="5380" width="17.54296875" style="33" customWidth="1"/>
    <col min="5381" max="5381" width="21.7265625" style="33" customWidth="1"/>
    <col min="5382" max="5382" width="23.81640625" style="33" customWidth="1"/>
    <col min="5383" max="5383" width="15.26953125" style="33" customWidth="1"/>
    <col min="5384" max="5395" width="5.7265625" style="33" customWidth="1"/>
    <col min="5396" max="5396" width="14.81640625" style="33" customWidth="1"/>
    <col min="5397" max="5397" width="17.26953125" style="33" customWidth="1"/>
    <col min="5398" max="5398" width="17.54296875" style="33" customWidth="1"/>
    <col min="5399" max="5399" width="14.81640625" style="33" customWidth="1"/>
    <col min="5400" max="5400" width="21.453125" style="33" customWidth="1"/>
    <col min="5401" max="5401" width="16" style="33" customWidth="1"/>
    <col min="5402" max="5402" width="10.26953125" style="33" customWidth="1"/>
    <col min="5403" max="5634" width="10.81640625" style="33"/>
    <col min="5635" max="5635" width="4" style="33" customWidth="1"/>
    <col min="5636" max="5636" width="17.54296875" style="33" customWidth="1"/>
    <col min="5637" max="5637" width="21.7265625" style="33" customWidth="1"/>
    <col min="5638" max="5638" width="23.81640625" style="33" customWidth="1"/>
    <col min="5639" max="5639" width="15.26953125" style="33" customWidth="1"/>
    <col min="5640" max="5651" width="5.7265625" style="33" customWidth="1"/>
    <col min="5652" max="5652" width="14.81640625" style="33" customWidth="1"/>
    <col min="5653" max="5653" width="17.26953125" style="33" customWidth="1"/>
    <col min="5654" max="5654" width="17.54296875" style="33" customWidth="1"/>
    <col min="5655" max="5655" width="14.81640625" style="33" customWidth="1"/>
    <col min="5656" max="5656" width="21.453125" style="33" customWidth="1"/>
    <col min="5657" max="5657" width="16" style="33" customWidth="1"/>
    <col min="5658" max="5658" width="10.26953125" style="33" customWidth="1"/>
    <col min="5659" max="5890" width="10.81640625" style="33"/>
    <col min="5891" max="5891" width="4" style="33" customWidth="1"/>
    <col min="5892" max="5892" width="17.54296875" style="33" customWidth="1"/>
    <col min="5893" max="5893" width="21.7265625" style="33" customWidth="1"/>
    <col min="5894" max="5894" width="23.81640625" style="33" customWidth="1"/>
    <col min="5895" max="5895" width="15.26953125" style="33" customWidth="1"/>
    <col min="5896" max="5907" width="5.7265625" style="33" customWidth="1"/>
    <col min="5908" max="5908" width="14.81640625" style="33" customWidth="1"/>
    <col min="5909" max="5909" width="17.26953125" style="33" customWidth="1"/>
    <col min="5910" max="5910" width="17.54296875" style="33" customWidth="1"/>
    <col min="5911" max="5911" width="14.81640625" style="33" customWidth="1"/>
    <col min="5912" max="5912" width="21.453125" style="33" customWidth="1"/>
    <col min="5913" max="5913" width="16" style="33" customWidth="1"/>
    <col min="5914" max="5914" width="10.26953125" style="33" customWidth="1"/>
    <col min="5915" max="6146" width="10.81640625" style="33"/>
    <col min="6147" max="6147" width="4" style="33" customWidth="1"/>
    <col min="6148" max="6148" width="17.54296875" style="33" customWidth="1"/>
    <col min="6149" max="6149" width="21.7265625" style="33" customWidth="1"/>
    <col min="6150" max="6150" width="23.81640625" style="33" customWidth="1"/>
    <col min="6151" max="6151" width="15.26953125" style="33" customWidth="1"/>
    <col min="6152" max="6163" width="5.7265625" style="33" customWidth="1"/>
    <col min="6164" max="6164" width="14.81640625" style="33" customWidth="1"/>
    <col min="6165" max="6165" width="17.26953125" style="33" customWidth="1"/>
    <col min="6166" max="6166" width="17.54296875" style="33" customWidth="1"/>
    <col min="6167" max="6167" width="14.81640625" style="33" customWidth="1"/>
    <col min="6168" max="6168" width="21.453125" style="33" customWidth="1"/>
    <col min="6169" max="6169" width="16" style="33" customWidth="1"/>
    <col min="6170" max="6170" width="10.26953125" style="33" customWidth="1"/>
    <col min="6171" max="6402" width="10.81640625" style="33"/>
    <col min="6403" max="6403" width="4" style="33" customWidth="1"/>
    <col min="6404" max="6404" width="17.54296875" style="33" customWidth="1"/>
    <col min="6405" max="6405" width="21.7265625" style="33" customWidth="1"/>
    <col min="6406" max="6406" width="23.81640625" style="33" customWidth="1"/>
    <col min="6407" max="6407" width="15.26953125" style="33" customWidth="1"/>
    <col min="6408" max="6419" width="5.7265625" style="33" customWidth="1"/>
    <col min="6420" max="6420" width="14.81640625" style="33" customWidth="1"/>
    <col min="6421" max="6421" width="17.26953125" style="33" customWidth="1"/>
    <col min="6422" max="6422" width="17.54296875" style="33" customWidth="1"/>
    <col min="6423" max="6423" width="14.81640625" style="33" customWidth="1"/>
    <col min="6424" max="6424" width="21.453125" style="33" customWidth="1"/>
    <col min="6425" max="6425" width="16" style="33" customWidth="1"/>
    <col min="6426" max="6426" width="10.26953125" style="33" customWidth="1"/>
    <col min="6427" max="6658" width="10.81640625" style="33"/>
    <col min="6659" max="6659" width="4" style="33" customWidth="1"/>
    <col min="6660" max="6660" width="17.54296875" style="33" customWidth="1"/>
    <col min="6661" max="6661" width="21.7265625" style="33" customWidth="1"/>
    <col min="6662" max="6662" width="23.81640625" style="33" customWidth="1"/>
    <col min="6663" max="6663" width="15.26953125" style="33" customWidth="1"/>
    <col min="6664" max="6675" width="5.7265625" style="33" customWidth="1"/>
    <col min="6676" max="6676" width="14.81640625" style="33" customWidth="1"/>
    <col min="6677" max="6677" width="17.26953125" style="33" customWidth="1"/>
    <col min="6678" max="6678" width="17.54296875" style="33" customWidth="1"/>
    <col min="6679" max="6679" width="14.81640625" style="33" customWidth="1"/>
    <col min="6680" max="6680" width="21.453125" style="33" customWidth="1"/>
    <col min="6681" max="6681" width="16" style="33" customWidth="1"/>
    <col min="6682" max="6682" width="10.26953125" style="33" customWidth="1"/>
    <col min="6683" max="6914" width="10.81640625" style="33"/>
    <col min="6915" max="6915" width="4" style="33" customWidth="1"/>
    <col min="6916" max="6916" width="17.54296875" style="33" customWidth="1"/>
    <col min="6917" max="6917" width="21.7265625" style="33" customWidth="1"/>
    <col min="6918" max="6918" width="23.81640625" style="33" customWidth="1"/>
    <col min="6919" max="6919" width="15.26953125" style="33" customWidth="1"/>
    <col min="6920" max="6931" width="5.7265625" style="33" customWidth="1"/>
    <col min="6932" max="6932" width="14.81640625" style="33" customWidth="1"/>
    <col min="6933" max="6933" width="17.26953125" style="33" customWidth="1"/>
    <col min="6934" max="6934" width="17.54296875" style="33" customWidth="1"/>
    <col min="6935" max="6935" width="14.81640625" style="33" customWidth="1"/>
    <col min="6936" max="6936" width="21.453125" style="33" customWidth="1"/>
    <col min="6937" max="6937" width="16" style="33" customWidth="1"/>
    <col min="6938" max="6938" width="10.26953125" style="33" customWidth="1"/>
    <col min="6939" max="7170" width="10.81640625" style="33"/>
    <col min="7171" max="7171" width="4" style="33" customWidth="1"/>
    <col min="7172" max="7172" width="17.54296875" style="33" customWidth="1"/>
    <col min="7173" max="7173" width="21.7265625" style="33" customWidth="1"/>
    <col min="7174" max="7174" width="23.81640625" style="33" customWidth="1"/>
    <col min="7175" max="7175" width="15.26953125" style="33" customWidth="1"/>
    <col min="7176" max="7187" width="5.7265625" style="33" customWidth="1"/>
    <col min="7188" max="7188" width="14.81640625" style="33" customWidth="1"/>
    <col min="7189" max="7189" width="17.26953125" style="33" customWidth="1"/>
    <col min="7190" max="7190" width="17.54296875" style="33" customWidth="1"/>
    <col min="7191" max="7191" width="14.81640625" style="33" customWidth="1"/>
    <col min="7192" max="7192" width="21.453125" style="33" customWidth="1"/>
    <col min="7193" max="7193" width="16" style="33" customWidth="1"/>
    <col min="7194" max="7194" width="10.26953125" style="33" customWidth="1"/>
    <col min="7195" max="7426" width="10.81640625" style="33"/>
    <col min="7427" max="7427" width="4" style="33" customWidth="1"/>
    <col min="7428" max="7428" width="17.54296875" style="33" customWidth="1"/>
    <col min="7429" max="7429" width="21.7265625" style="33" customWidth="1"/>
    <col min="7430" max="7430" width="23.81640625" style="33" customWidth="1"/>
    <col min="7431" max="7431" width="15.26953125" style="33" customWidth="1"/>
    <col min="7432" max="7443" width="5.7265625" style="33" customWidth="1"/>
    <col min="7444" max="7444" width="14.81640625" style="33" customWidth="1"/>
    <col min="7445" max="7445" width="17.26953125" style="33" customWidth="1"/>
    <col min="7446" max="7446" width="17.54296875" style="33" customWidth="1"/>
    <col min="7447" max="7447" width="14.81640625" style="33" customWidth="1"/>
    <col min="7448" max="7448" width="21.453125" style="33" customWidth="1"/>
    <col min="7449" max="7449" width="16" style="33" customWidth="1"/>
    <col min="7450" max="7450" width="10.26953125" style="33" customWidth="1"/>
    <col min="7451" max="7682" width="10.81640625" style="33"/>
    <col min="7683" max="7683" width="4" style="33" customWidth="1"/>
    <col min="7684" max="7684" width="17.54296875" style="33" customWidth="1"/>
    <col min="7685" max="7685" width="21.7265625" style="33" customWidth="1"/>
    <col min="7686" max="7686" width="23.81640625" style="33" customWidth="1"/>
    <col min="7687" max="7687" width="15.26953125" style="33" customWidth="1"/>
    <col min="7688" max="7699" width="5.7265625" style="33" customWidth="1"/>
    <col min="7700" max="7700" width="14.81640625" style="33" customWidth="1"/>
    <col min="7701" max="7701" width="17.26953125" style="33" customWidth="1"/>
    <col min="7702" max="7702" width="17.54296875" style="33" customWidth="1"/>
    <col min="7703" max="7703" width="14.81640625" style="33" customWidth="1"/>
    <col min="7704" max="7704" width="21.453125" style="33" customWidth="1"/>
    <col min="7705" max="7705" width="16" style="33" customWidth="1"/>
    <col min="7706" max="7706" width="10.26953125" style="33" customWidth="1"/>
    <col min="7707" max="7938" width="10.81640625" style="33"/>
    <col min="7939" max="7939" width="4" style="33" customWidth="1"/>
    <col min="7940" max="7940" width="17.54296875" style="33" customWidth="1"/>
    <col min="7941" max="7941" width="21.7265625" style="33" customWidth="1"/>
    <col min="7942" max="7942" width="23.81640625" style="33" customWidth="1"/>
    <col min="7943" max="7943" width="15.26953125" style="33" customWidth="1"/>
    <col min="7944" max="7955" width="5.7265625" style="33" customWidth="1"/>
    <col min="7956" max="7956" width="14.81640625" style="33" customWidth="1"/>
    <col min="7957" max="7957" width="17.26953125" style="33" customWidth="1"/>
    <col min="7958" max="7958" width="17.54296875" style="33" customWidth="1"/>
    <col min="7959" max="7959" width="14.81640625" style="33" customWidth="1"/>
    <col min="7960" max="7960" width="21.453125" style="33" customWidth="1"/>
    <col min="7961" max="7961" width="16" style="33" customWidth="1"/>
    <col min="7962" max="7962" width="10.26953125" style="33" customWidth="1"/>
    <col min="7963" max="8194" width="10.81640625" style="33"/>
    <col min="8195" max="8195" width="4" style="33" customWidth="1"/>
    <col min="8196" max="8196" width="17.54296875" style="33" customWidth="1"/>
    <col min="8197" max="8197" width="21.7265625" style="33" customWidth="1"/>
    <col min="8198" max="8198" width="23.81640625" style="33" customWidth="1"/>
    <col min="8199" max="8199" width="15.26953125" style="33" customWidth="1"/>
    <col min="8200" max="8211" width="5.7265625" style="33" customWidth="1"/>
    <col min="8212" max="8212" width="14.81640625" style="33" customWidth="1"/>
    <col min="8213" max="8213" width="17.26953125" style="33" customWidth="1"/>
    <col min="8214" max="8214" width="17.54296875" style="33" customWidth="1"/>
    <col min="8215" max="8215" width="14.81640625" style="33" customWidth="1"/>
    <col min="8216" max="8216" width="21.453125" style="33" customWidth="1"/>
    <col min="8217" max="8217" width="16" style="33" customWidth="1"/>
    <col min="8218" max="8218" width="10.26953125" style="33" customWidth="1"/>
    <col min="8219" max="8450" width="10.81640625" style="33"/>
    <col min="8451" max="8451" width="4" style="33" customWidth="1"/>
    <col min="8452" max="8452" width="17.54296875" style="33" customWidth="1"/>
    <col min="8453" max="8453" width="21.7265625" style="33" customWidth="1"/>
    <col min="8454" max="8454" width="23.81640625" style="33" customWidth="1"/>
    <col min="8455" max="8455" width="15.26953125" style="33" customWidth="1"/>
    <col min="8456" max="8467" width="5.7265625" style="33" customWidth="1"/>
    <col min="8468" max="8468" width="14.81640625" style="33" customWidth="1"/>
    <col min="8469" max="8469" width="17.26953125" style="33" customWidth="1"/>
    <col min="8470" max="8470" width="17.54296875" style="33" customWidth="1"/>
    <col min="8471" max="8471" width="14.81640625" style="33" customWidth="1"/>
    <col min="8472" max="8472" width="21.453125" style="33" customWidth="1"/>
    <col min="8473" max="8473" width="16" style="33" customWidth="1"/>
    <col min="8474" max="8474" width="10.26953125" style="33" customWidth="1"/>
    <col min="8475" max="8706" width="10.81640625" style="33"/>
    <col min="8707" max="8707" width="4" style="33" customWidth="1"/>
    <col min="8708" max="8708" width="17.54296875" style="33" customWidth="1"/>
    <col min="8709" max="8709" width="21.7265625" style="33" customWidth="1"/>
    <col min="8710" max="8710" width="23.81640625" style="33" customWidth="1"/>
    <col min="8711" max="8711" width="15.26953125" style="33" customWidth="1"/>
    <col min="8712" max="8723" width="5.7265625" style="33" customWidth="1"/>
    <col min="8724" max="8724" width="14.81640625" style="33" customWidth="1"/>
    <col min="8725" max="8725" width="17.26953125" style="33" customWidth="1"/>
    <col min="8726" max="8726" width="17.54296875" style="33" customWidth="1"/>
    <col min="8727" max="8727" width="14.81640625" style="33" customWidth="1"/>
    <col min="8728" max="8728" width="21.453125" style="33" customWidth="1"/>
    <col min="8729" max="8729" width="16" style="33" customWidth="1"/>
    <col min="8730" max="8730" width="10.26953125" style="33" customWidth="1"/>
    <col min="8731" max="8962" width="10.81640625" style="33"/>
    <col min="8963" max="8963" width="4" style="33" customWidth="1"/>
    <col min="8964" max="8964" width="17.54296875" style="33" customWidth="1"/>
    <col min="8965" max="8965" width="21.7265625" style="33" customWidth="1"/>
    <col min="8966" max="8966" width="23.81640625" style="33" customWidth="1"/>
    <col min="8967" max="8967" width="15.26953125" style="33" customWidth="1"/>
    <col min="8968" max="8979" width="5.7265625" style="33" customWidth="1"/>
    <col min="8980" max="8980" width="14.81640625" style="33" customWidth="1"/>
    <col min="8981" max="8981" width="17.26953125" style="33" customWidth="1"/>
    <col min="8982" max="8982" width="17.54296875" style="33" customWidth="1"/>
    <col min="8983" max="8983" width="14.81640625" style="33" customWidth="1"/>
    <col min="8984" max="8984" width="21.453125" style="33" customWidth="1"/>
    <col min="8985" max="8985" width="16" style="33" customWidth="1"/>
    <col min="8986" max="8986" width="10.26953125" style="33" customWidth="1"/>
    <col min="8987" max="9218" width="10.81640625" style="33"/>
    <col min="9219" max="9219" width="4" style="33" customWidth="1"/>
    <col min="9220" max="9220" width="17.54296875" style="33" customWidth="1"/>
    <col min="9221" max="9221" width="21.7265625" style="33" customWidth="1"/>
    <col min="9222" max="9222" width="23.81640625" style="33" customWidth="1"/>
    <col min="9223" max="9223" width="15.26953125" style="33" customWidth="1"/>
    <col min="9224" max="9235" width="5.7265625" style="33" customWidth="1"/>
    <col min="9236" max="9236" width="14.81640625" style="33" customWidth="1"/>
    <col min="9237" max="9237" width="17.26953125" style="33" customWidth="1"/>
    <col min="9238" max="9238" width="17.54296875" style="33" customWidth="1"/>
    <col min="9239" max="9239" width="14.81640625" style="33" customWidth="1"/>
    <col min="9240" max="9240" width="21.453125" style="33" customWidth="1"/>
    <col min="9241" max="9241" width="16" style="33" customWidth="1"/>
    <col min="9242" max="9242" width="10.26953125" style="33" customWidth="1"/>
    <col min="9243" max="9474" width="10.81640625" style="33"/>
    <col min="9475" max="9475" width="4" style="33" customWidth="1"/>
    <col min="9476" max="9476" width="17.54296875" style="33" customWidth="1"/>
    <col min="9477" max="9477" width="21.7265625" style="33" customWidth="1"/>
    <col min="9478" max="9478" width="23.81640625" style="33" customWidth="1"/>
    <col min="9479" max="9479" width="15.26953125" style="33" customWidth="1"/>
    <col min="9480" max="9491" width="5.7265625" style="33" customWidth="1"/>
    <col min="9492" max="9492" width="14.81640625" style="33" customWidth="1"/>
    <col min="9493" max="9493" width="17.26953125" style="33" customWidth="1"/>
    <col min="9494" max="9494" width="17.54296875" style="33" customWidth="1"/>
    <col min="9495" max="9495" width="14.81640625" style="33" customWidth="1"/>
    <col min="9496" max="9496" width="21.453125" style="33" customWidth="1"/>
    <col min="9497" max="9497" width="16" style="33" customWidth="1"/>
    <col min="9498" max="9498" width="10.26953125" style="33" customWidth="1"/>
    <col min="9499" max="9730" width="10.81640625" style="33"/>
    <col min="9731" max="9731" width="4" style="33" customWidth="1"/>
    <col min="9732" max="9732" width="17.54296875" style="33" customWidth="1"/>
    <col min="9733" max="9733" width="21.7265625" style="33" customWidth="1"/>
    <col min="9734" max="9734" width="23.81640625" style="33" customWidth="1"/>
    <col min="9735" max="9735" width="15.26953125" style="33" customWidth="1"/>
    <col min="9736" max="9747" width="5.7265625" style="33" customWidth="1"/>
    <col min="9748" max="9748" width="14.81640625" style="33" customWidth="1"/>
    <col min="9749" max="9749" width="17.26953125" style="33" customWidth="1"/>
    <col min="9750" max="9750" width="17.54296875" style="33" customWidth="1"/>
    <col min="9751" max="9751" width="14.81640625" style="33" customWidth="1"/>
    <col min="9752" max="9752" width="21.453125" style="33" customWidth="1"/>
    <col min="9753" max="9753" width="16" style="33" customWidth="1"/>
    <col min="9754" max="9754" width="10.26953125" style="33" customWidth="1"/>
    <col min="9755" max="9986" width="10.81640625" style="33"/>
    <col min="9987" max="9987" width="4" style="33" customWidth="1"/>
    <col min="9988" max="9988" width="17.54296875" style="33" customWidth="1"/>
    <col min="9989" max="9989" width="21.7265625" style="33" customWidth="1"/>
    <col min="9990" max="9990" width="23.81640625" style="33" customWidth="1"/>
    <col min="9991" max="9991" width="15.26953125" style="33" customWidth="1"/>
    <col min="9992" max="10003" width="5.7265625" style="33" customWidth="1"/>
    <col min="10004" max="10004" width="14.81640625" style="33" customWidth="1"/>
    <col min="10005" max="10005" width="17.26953125" style="33" customWidth="1"/>
    <col min="10006" max="10006" width="17.54296875" style="33" customWidth="1"/>
    <col min="10007" max="10007" width="14.81640625" style="33" customWidth="1"/>
    <col min="10008" max="10008" width="21.453125" style="33" customWidth="1"/>
    <col min="10009" max="10009" width="16" style="33" customWidth="1"/>
    <col min="10010" max="10010" width="10.26953125" style="33" customWidth="1"/>
    <col min="10011" max="10242" width="10.81640625" style="33"/>
    <col min="10243" max="10243" width="4" style="33" customWidth="1"/>
    <col min="10244" max="10244" width="17.54296875" style="33" customWidth="1"/>
    <col min="10245" max="10245" width="21.7265625" style="33" customWidth="1"/>
    <col min="10246" max="10246" width="23.81640625" style="33" customWidth="1"/>
    <col min="10247" max="10247" width="15.26953125" style="33" customWidth="1"/>
    <col min="10248" max="10259" width="5.7265625" style="33" customWidth="1"/>
    <col min="10260" max="10260" width="14.81640625" style="33" customWidth="1"/>
    <col min="10261" max="10261" width="17.26953125" style="33" customWidth="1"/>
    <col min="10262" max="10262" width="17.54296875" style="33" customWidth="1"/>
    <col min="10263" max="10263" width="14.81640625" style="33" customWidth="1"/>
    <col min="10264" max="10264" width="21.453125" style="33" customWidth="1"/>
    <col min="10265" max="10265" width="16" style="33" customWidth="1"/>
    <col min="10266" max="10266" width="10.26953125" style="33" customWidth="1"/>
    <col min="10267" max="10498" width="10.81640625" style="33"/>
    <col min="10499" max="10499" width="4" style="33" customWidth="1"/>
    <col min="10500" max="10500" width="17.54296875" style="33" customWidth="1"/>
    <col min="10501" max="10501" width="21.7265625" style="33" customWidth="1"/>
    <col min="10502" max="10502" width="23.81640625" style="33" customWidth="1"/>
    <col min="10503" max="10503" width="15.26953125" style="33" customWidth="1"/>
    <col min="10504" max="10515" width="5.7265625" style="33" customWidth="1"/>
    <col min="10516" max="10516" width="14.81640625" style="33" customWidth="1"/>
    <col min="10517" max="10517" width="17.26953125" style="33" customWidth="1"/>
    <col min="10518" max="10518" width="17.54296875" style="33" customWidth="1"/>
    <col min="10519" max="10519" width="14.81640625" style="33" customWidth="1"/>
    <col min="10520" max="10520" width="21.453125" style="33" customWidth="1"/>
    <col min="10521" max="10521" width="16" style="33" customWidth="1"/>
    <col min="10522" max="10522" width="10.26953125" style="33" customWidth="1"/>
    <col min="10523" max="10754" width="10.81640625" style="33"/>
    <col min="10755" max="10755" width="4" style="33" customWidth="1"/>
    <col min="10756" max="10756" width="17.54296875" style="33" customWidth="1"/>
    <col min="10757" max="10757" width="21.7265625" style="33" customWidth="1"/>
    <col min="10758" max="10758" width="23.81640625" style="33" customWidth="1"/>
    <col min="10759" max="10759" width="15.26953125" style="33" customWidth="1"/>
    <col min="10760" max="10771" width="5.7265625" style="33" customWidth="1"/>
    <col min="10772" max="10772" width="14.81640625" style="33" customWidth="1"/>
    <col min="10773" max="10773" width="17.26953125" style="33" customWidth="1"/>
    <col min="10774" max="10774" width="17.54296875" style="33" customWidth="1"/>
    <col min="10775" max="10775" width="14.81640625" style="33" customWidth="1"/>
    <col min="10776" max="10776" width="21.453125" style="33" customWidth="1"/>
    <col min="10777" max="10777" width="16" style="33" customWidth="1"/>
    <col min="10778" max="10778" width="10.26953125" style="33" customWidth="1"/>
    <col min="10779" max="11010" width="10.81640625" style="33"/>
    <col min="11011" max="11011" width="4" style="33" customWidth="1"/>
    <col min="11012" max="11012" width="17.54296875" style="33" customWidth="1"/>
    <col min="11013" max="11013" width="21.7265625" style="33" customWidth="1"/>
    <col min="11014" max="11014" width="23.81640625" style="33" customWidth="1"/>
    <col min="11015" max="11015" width="15.26953125" style="33" customWidth="1"/>
    <col min="11016" max="11027" width="5.7265625" style="33" customWidth="1"/>
    <col min="11028" max="11028" width="14.81640625" style="33" customWidth="1"/>
    <col min="11029" max="11029" width="17.26953125" style="33" customWidth="1"/>
    <col min="11030" max="11030" width="17.54296875" style="33" customWidth="1"/>
    <col min="11031" max="11031" width="14.81640625" style="33" customWidth="1"/>
    <col min="11032" max="11032" width="21.453125" style="33" customWidth="1"/>
    <col min="11033" max="11033" width="16" style="33" customWidth="1"/>
    <col min="11034" max="11034" width="10.26953125" style="33" customWidth="1"/>
    <col min="11035" max="11266" width="10.81640625" style="33"/>
    <col min="11267" max="11267" width="4" style="33" customWidth="1"/>
    <col min="11268" max="11268" width="17.54296875" style="33" customWidth="1"/>
    <col min="11269" max="11269" width="21.7265625" style="33" customWidth="1"/>
    <col min="11270" max="11270" width="23.81640625" style="33" customWidth="1"/>
    <col min="11271" max="11271" width="15.26953125" style="33" customWidth="1"/>
    <col min="11272" max="11283" width="5.7265625" style="33" customWidth="1"/>
    <col min="11284" max="11284" width="14.81640625" style="33" customWidth="1"/>
    <col min="11285" max="11285" width="17.26953125" style="33" customWidth="1"/>
    <col min="11286" max="11286" width="17.54296875" style="33" customWidth="1"/>
    <col min="11287" max="11287" width="14.81640625" style="33" customWidth="1"/>
    <col min="11288" max="11288" width="21.453125" style="33" customWidth="1"/>
    <col min="11289" max="11289" width="16" style="33" customWidth="1"/>
    <col min="11290" max="11290" width="10.26953125" style="33" customWidth="1"/>
    <col min="11291" max="11522" width="10.81640625" style="33"/>
    <col min="11523" max="11523" width="4" style="33" customWidth="1"/>
    <col min="11524" max="11524" width="17.54296875" style="33" customWidth="1"/>
    <col min="11525" max="11525" width="21.7265625" style="33" customWidth="1"/>
    <col min="11526" max="11526" width="23.81640625" style="33" customWidth="1"/>
    <col min="11527" max="11527" width="15.26953125" style="33" customWidth="1"/>
    <col min="11528" max="11539" width="5.7265625" style="33" customWidth="1"/>
    <col min="11540" max="11540" width="14.81640625" style="33" customWidth="1"/>
    <col min="11541" max="11541" width="17.26953125" style="33" customWidth="1"/>
    <col min="11542" max="11542" width="17.54296875" style="33" customWidth="1"/>
    <col min="11543" max="11543" width="14.81640625" style="33" customWidth="1"/>
    <col min="11544" max="11544" width="21.453125" style="33" customWidth="1"/>
    <col min="11545" max="11545" width="16" style="33" customWidth="1"/>
    <col min="11546" max="11546" width="10.26953125" style="33" customWidth="1"/>
    <col min="11547" max="11778" width="10.81640625" style="33"/>
    <col min="11779" max="11779" width="4" style="33" customWidth="1"/>
    <col min="11780" max="11780" width="17.54296875" style="33" customWidth="1"/>
    <col min="11781" max="11781" width="21.7265625" style="33" customWidth="1"/>
    <col min="11782" max="11782" width="23.81640625" style="33" customWidth="1"/>
    <col min="11783" max="11783" width="15.26953125" style="33" customWidth="1"/>
    <col min="11784" max="11795" width="5.7265625" style="33" customWidth="1"/>
    <col min="11796" max="11796" width="14.81640625" style="33" customWidth="1"/>
    <col min="11797" max="11797" width="17.26953125" style="33" customWidth="1"/>
    <col min="11798" max="11798" width="17.54296875" style="33" customWidth="1"/>
    <col min="11799" max="11799" width="14.81640625" style="33" customWidth="1"/>
    <col min="11800" max="11800" width="21.453125" style="33" customWidth="1"/>
    <col min="11801" max="11801" width="16" style="33" customWidth="1"/>
    <col min="11802" max="11802" width="10.26953125" style="33" customWidth="1"/>
    <col min="11803" max="12034" width="10.81640625" style="33"/>
    <col min="12035" max="12035" width="4" style="33" customWidth="1"/>
    <col min="12036" max="12036" width="17.54296875" style="33" customWidth="1"/>
    <col min="12037" max="12037" width="21.7265625" style="33" customWidth="1"/>
    <col min="12038" max="12038" width="23.81640625" style="33" customWidth="1"/>
    <col min="12039" max="12039" width="15.26953125" style="33" customWidth="1"/>
    <col min="12040" max="12051" width="5.7265625" style="33" customWidth="1"/>
    <col min="12052" max="12052" width="14.81640625" style="33" customWidth="1"/>
    <col min="12053" max="12053" width="17.26953125" style="33" customWidth="1"/>
    <col min="12054" max="12054" width="17.54296875" style="33" customWidth="1"/>
    <col min="12055" max="12055" width="14.81640625" style="33" customWidth="1"/>
    <col min="12056" max="12056" width="21.453125" style="33" customWidth="1"/>
    <col min="12057" max="12057" width="16" style="33" customWidth="1"/>
    <col min="12058" max="12058" width="10.26953125" style="33" customWidth="1"/>
    <col min="12059" max="12290" width="10.81640625" style="33"/>
    <col min="12291" max="12291" width="4" style="33" customWidth="1"/>
    <col min="12292" max="12292" width="17.54296875" style="33" customWidth="1"/>
    <col min="12293" max="12293" width="21.7265625" style="33" customWidth="1"/>
    <col min="12294" max="12294" width="23.81640625" style="33" customWidth="1"/>
    <col min="12295" max="12295" width="15.26953125" style="33" customWidth="1"/>
    <col min="12296" max="12307" width="5.7265625" style="33" customWidth="1"/>
    <col min="12308" max="12308" width="14.81640625" style="33" customWidth="1"/>
    <col min="12309" max="12309" width="17.26953125" style="33" customWidth="1"/>
    <col min="12310" max="12310" width="17.54296875" style="33" customWidth="1"/>
    <col min="12311" max="12311" width="14.81640625" style="33" customWidth="1"/>
    <col min="12312" max="12312" width="21.453125" style="33" customWidth="1"/>
    <col min="12313" max="12313" width="16" style="33" customWidth="1"/>
    <col min="12314" max="12314" width="10.26953125" style="33" customWidth="1"/>
    <col min="12315" max="12546" width="10.81640625" style="33"/>
    <col min="12547" max="12547" width="4" style="33" customWidth="1"/>
    <col min="12548" max="12548" width="17.54296875" style="33" customWidth="1"/>
    <col min="12549" max="12549" width="21.7265625" style="33" customWidth="1"/>
    <col min="12550" max="12550" width="23.81640625" style="33" customWidth="1"/>
    <col min="12551" max="12551" width="15.26953125" style="33" customWidth="1"/>
    <col min="12552" max="12563" width="5.7265625" style="33" customWidth="1"/>
    <col min="12564" max="12564" width="14.81640625" style="33" customWidth="1"/>
    <col min="12565" max="12565" width="17.26953125" style="33" customWidth="1"/>
    <col min="12566" max="12566" width="17.54296875" style="33" customWidth="1"/>
    <col min="12567" max="12567" width="14.81640625" style="33" customWidth="1"/>
    <col min="12568" max="12568" width="21.453125" style="33" customWidth="1"/>
    <col min="12569" max="12569" width="16" style="33" customWidth="1"/>
    <col min="12570" max="12570" width="10.26953125" style="33" customWidth="1"/>
    <col min="12571" max="12802" width="10.81640625" style="33"/>
    <col min="12803" max="12803" width="4" style="33" customWidth="1"/>
    <col min="12804" max="12804" width="17.54296875" style="33" customWidth="1"/>
    <col min="12805" max="12805" width="21.7265625" style="33" customWidth="1"/>
    <col min="12806" max="12806" width="23.81640625" style="33" customWidth="1"/>
    <col min="12807" max="12807" width="15.26953125" style="33" customWidth="1"/>
    <col min="12808" max="12819" width="5.7265625" style="33" customWidth="1"/>
    <col min="12820" max="12820" width="14.81640625" style="33" customWidth="1"/>
    <col min="12821" max="12821" width="17.26953125" style="33" customWidth="1"/>
    <col min="12822" max="12822" width="17.54296875" style="33" customWidth="1"/>
    <col min="12823" max="12823" width="14.81640625" style="33" customWidth="1"/>
    <col min="12824" max="12824" width="21.453125" style="33" customWidth="1"/>
    <col min="12825" max="12825" width="16" style="33" customWidth="1"/>
    <col min="12826" max="12826" width="10.26953125" style="33" customWidth="1"/>
    <col min="12827" max="13058" width="10.81640625" style="33"/>
    <col min="13059" max="13059" width="4" style="33" customWidth="1"/>
    <col min="13060" max="13060" width="17.54296875" style="33" customWidth="1"/>
    <col min="13061" max="13061" width="21.7265625" style="33" customWidth="1"/>
    <col min="13062" max="13062" width="23.81640625" style="33" customWidth="1"/>
    <col min="13063" max="13063" width="15.26953125" style="33" customWidth="1"/>
    <col min="13064" max="13075" width="5.7265625" style="33" customWidth="1"/>
    <col min="13076" max="13076" width="14.81640625" style="33" customWidth="1"/>
    <col min="13077" max="13077" width="17.26953125" style="33" customWidth="1"/>
    <col min="13078" max="13078" width="17.54296875" style="33" customWidth="1"/>
    <col min="13079" max="13079" width="14.81640625" style="33" customWidth="1"/>
    <col min="13080" max="13080" width="21.453125" style="33" customWidth="1"/>
    <col min="13081" max="13081" width="16" style="33" customWidth="1"/>
    <col min="13082" max="13082" width="10.26953125" style="33" customWidth="1"/>
    <col min="13083" max="13314" width="10.81640625" style="33"/>
    <col min="13315" max="13315" width="4" style="33" customWidth="1"/>
    <col min="13316" max="13316" width="17.54296875" style="33" customWidth="1"/>
    <col min="13317" max="13317" width="21.7265625" style="33" customWidth="1"/>
    <col min="13318" max="13318" width="23.81640625" style="33" customWidth="1"/>
    <col min="13319" max="13319" width="15.26953125" style="33" customWidth="1"/>
    <col min="13320" max="13331" width="5.7265625" style="33" customWidth="1"/>
    <col min="13332" max="13332" width="14.81640625" style="33" customWidth="1"/>
    <col min="13333" max="13333" width="17.26953125" style="33" customWidth="1"/>
    <col min="13334" max="13334" width="17.54296875" style="33" customWidth="1"/>
    <col min="13335" max="13335" width="14.81640625" style="33" customWidth="1"/>
    <col min="13336" max="13336" width="21.453125" style="33" customWidth="1"/>
    <col min="13337" max="13337" width="16" style="33" customWidth="1"/>
    <col min="13338" max="13338" width="10.26953125" style="33" customWidth="1"/>
    <col min="13339" max="13570" width="10.81640625" style="33"/>
    <col min="13571" max="13571" width="4" style="33" customWidth="1"/>
    <col min="13572" max="13572" width="17.54296875" style="33" customWidth="1"/>
    <col min="13573" max="13573" width="21.7265625" style="33" customWidth="1"/>
    <col min="13574" max="13574" width="23.81640625" style="33" customWidth="1"/>
    <col min="13575" max="13575" width="15.26953125" style="33" customWidth="1"/>
    <col min="13576" max="13587" width="5.7265625" style="33" customWidth="1"/>
    <col min="13588" max="13588" width="14.81640625" style="33" customWidth="1"/>
    <col min="13589" max="13589" width="17.26953125" style="33" customWidth="1"/>
    <col min="13590" max="13590" width="17.54296875" style="33" customWidth="1"/>
    <col min="13591" max="13591" width="14.81640625" style="33" customWidth="1"/>
    <col min="13592" max="13592" width="21.453125" style="33" customWidth="1"/>
    <col min="13593" max="13593" width="16" style="33" customWidth="1"/>
    <col min="13594" max="13594" width="10.26953125" style="33" customWidth="1"/>
    <col min="13595" max="13826" width="10.81640625" style="33"/>
    <col min="13827" max="13827" width="4" style="33" customWidth="1"/>
    <col min="13828" max="13828" width="17.54296875" style="33" customWidth="1"/>
    <col min="13829" max="13829" width="21.7265625" style="33" customWidth="1"/>
    <col min="13830" max="13830" width="23.81640625" style="33" customWidth="1"/>
    <col min="13831" max="13831" width="15.26953125" style="33" customWidth="1"/>
    <col min="13832" max="13843" width="5.7265625" style="33" customWidth="1"/>
    <col min="13844" max="13844" width="14.81640625" style="33" customWidth="1"/>
    <col min="13845" max="13845" width="17.26953125" style="33" customWidth="1"/>
    <col min="13846" max="13846" width="17.54296875" style="33" customWidth="1"/>
    <col min="13847" max="13847" width="14.81640625" style="33" customWidth="1"/>
    <col min="13848" max="13848" width="21.453125" style="33" customWidth="1"/>
    <col min="13849" max="13849" width="16" style="33" customWidth="1"/>
    <col min="13850" max="13850" width="10.26953125" style="33" customWidth="1"/>
    <col min="13851" max="14082" width="10.81640625" style="33"/>
    <col min="14083" max="14083" width="4" style="33" customWidth="1"/>
    <col min="14084" max="14084" width="17.54296875" style="33" customWidth="1"/>
    <col min="14085" max="14085" width="21.7265625" style="33" customWidth="1"/>
    <col min="14086" max="14086" width="23.81640625" style="33" customWidth="1"/>
    <col min="14087" max="14087" width="15.26953125" style="33" customWidth="1"/>
    <col min="14088" max="14099" width="5.7265625" style="33" customWidth="1"/>
    <col min="14100" max="14100" width="14.81640625" style="33" customWidth="1"/>
    <col min="14101" max="14101" width="17.26953125" style="33" customWidth="1"/>
    <col min="14102" max="14102" width="17.54296875" style="33" customWidth="1"/>
    <col min="14103" max="14103" width="14.81640625" style="33" customWidth="1"/>
    <col min="14104" max="14104" width="21.453125" style="33" customWidth="1"/>
    <col min="14105" max="14105" width="16" style="33" customWidth="1"/>
    <col min="14106" max="14106" width="10.26953125" style="33" customWidth="1"/>
    <col min="14107" max="14338" width="10.81640625" style="33"/>
    <col min="14339" max="14339" width="4" style="33" customWidth="1"/>
    <col min="14340" max="14340" width="17.54296875" style="33" customWidth="1"/>
    <col min="14341" max="14341" width="21.7265625" style="33" customWidth="1"/>
    <col min="14342" max="14342" width="23.81640625" style="33" customWidth="1"/>
    <col min="14343" max="14343" width="15.26953125" style="33" customWidth="1"/>
    <col min="14344" max="14355" width="5.7265625" style="33" customWidth="1"/>
    <col min="14356" max="14356" width="14.81640625" style="33" customWidth="1"/>
    <col min="14357" max="14357" width="17.26953125" style="33" customWidth="1"/>
    <col min="14358" max="14358" width="17.54296875" style="33" customWidth="1"/>
    <col min="14359" max="14359" width="14.81640625" style="33" customWidth="1"/>
    <col min="14360" max="14360" width="21.453125" style="33" customWidth="1"/>
    <col min="14361" max="14361" width="16" style="33" customWidth="1"/>
    <col min="14362" max="14362" width="10.26953125" style="33" customWidth="1"/>
    <col min="14363" max="14594" width="10.81640625" style="33"/>
    <col min="14595" max="14595" width="4" style="33" customWidth="1"/>
    <col min="14596" max="14596" width="17.54296875" style="33" customWidth="1"/>
    <col min="14597" max="14597" width="21.7265625" style="33" customWidth="1"/>
    <col min="14598" max="14598" width="23.81640625" style="33" customWidth="1"/>
    <col min="14599" max="14599" width="15.26953125" style="33" customWidth="1"/>
    <col min="14600" max="14611" width="5.7265625" style="33" customWidth="1"/>
    <col min="14612" max="14612" width="14.81640625" style="33" customWidth="1"/>
    <col min="14613" max="14613" width="17.26953125" style="33" customWidth="1"/>
    <col min="14614" max="14614" width="17.54296875" style="33" customWidth="1"/>
    <col min="14615" max="14615" width="14.81640625" style="33" customWidth="1"/>
    <col min="14616" max="14616" width="21.453125" style="33" customWidth="1"/>
    <col min="14617" max="14617" width="16" style="33" customWidth="1"/>
    <col min="14618" max="14618" width="10.26953125" style="33" customWidth="1"/>
    <col min="14619" max="14850" width="10.81640625" style="33"/>
    <col min="14851" max="14851" width="4" style="33" customWidth="1"/>
    <col min="14852" max="14852" width="17.54296875" style="33" customWidth="1"/>
    <col min="14853" max="14853" width="21.7265625" style="33" customWidth="1"/>
    <col min="14854" max="14854" width="23.81640625" style="33" customWidth="1"/>
    <col min="14855" max="14855" width="15.26953125" style="33" customWidth="1"/>
    <col min="14856" max="14867" width="5.7265625" style="33" customWidth="1"/>
    <col min="14868" max="14868" width="14.81640625" style="33" customWidth="1"/>
    <col min="14869" max="14869" width="17.26953125" style="33" customWidth="1"/>
    <col min="14870" max="14870" width="17.54296875" style="33" customWidth="1"/>
    <col min="14871" max="14871" width="14.81640625" style="33" customWidth="1"/>
    <col min="14872" max="14872" width="21.453125" style="33" customWidth="1"/>
    <col min="14873" max="14873" width="16" style="33" customWidth="1"/>
    <col min="14874" max="14874" width="10.26953125" style="33" customWidth="1"/>
    <col min="14875" max="15106" width="10.81640625" style="33"/>
    <col min="15107" max="15107" width="4" style="33" customWidth="1"/>
    <col min="15108" max="15108" width="17.54296875" style="33" customWidth="1"/>
    <col min="15109" max="15109" width="21.7265625" style="33" customWidth="1"/>
    <col min="15110" max="15110" width="23.81640625" style="33" customWidth="1"/>
    <col min="15111" max="15111" width="15.26953125" style="33" customWidth="1"/>
    <col min="15112" max="15123" width="5.7265625" style="33" customWidth="1"/>
    <col min="15124" max="15124" width="14.81640625" style="33" customWidth="1"/>
    <col min="15125" max="15125" width="17.26953125" style="33" customWidth="1"/>
    <col min="15126" max="15126" width="17.54296875" style="33" customWidth="1"/>
    <col min="15127" max="15127" width="14.81640625" style="33" customWidth="1"/>
    <col min="15128" max="15128" width="21.453125" style="33" customWidth="1"/>
    <col min="15129" max="15129" width="16" style="33" customWidth="1"/>
    <col min="15130" max="15130" width="10.26953125" style="33" customWidth="1"/>
    <col min="15131" max="15362" width="10.81640625" style="33"/>
    <col min="15363" max="15363" width="4" style="33" customWidth="1"/>
    <col min="15364" max="15364" width="17.54296875" style="33" customWidth="1"/>
    <col min="15365" max="15365" width="21.7265625" style="33" customWidth="1"/>
    <col min="15366" max="15366" width="23.81640625" style="33" customWidth="1"/>
    <col min="15367" max="15367" width="15.26953125" style="33" customWidth="1"/>
    <col min="15368" max="15379" width="5.7265625" style="33" customWidth="1"/>
    <col min="15380" max="15380" width="14.81640625" style="33" customWidth="1"/>
    <col min="15381" max="15381" width="17.26953125" style="33" customWidth="1"/>
    <col min="15382" max="15382" width="17.54296875" style="33" customWidth="1"/>
    <col min="15383" max="15383" width="14.81640625" style="33" customWidth="1"/>
    <col min="15384" max="15384" width="21.453125" style="33" customWidth="1"/>
    <col min="15385" max="15385" width="16" style="33" customWidth="1"/>
    <col min="15386" max="15386" width="10.26953125" style="33" customWidth="1"/>
    <col min="15387" max="15618" width="10.81640625" style="33"/>
    <col min="15619" max="15619" width="4" style="33" customWidth="1"/>
    <col min="15620" max="15620" width="17.54296875" style="33" customWidth="1"/>
    <col min="15621" max="15621" width="21.7265625" style="33" customWidth="1"/>
    <col min="15622" max="15622" width="23.81640625" style="33" customWidth="1"/>
    <col min="15623" max="15623" width="15.26953125" style="33" customWidth="1"/>
    <col min="15624" max="15635" width="5.7265625" style="33" customWidth="1"/>
    <col min="15636" max="15636" width="14.81640625" style="33" customWidth="1"/>
    <col min="15637" max="15637" width="17.26953125" style="33" customWidth="1"/>
    <col min="15638" max="15638" width="17.54296875" style="33" customWidth="1"/>
    <col min="15639" max="15639" width="14.81640625" style="33" customWidth="1"/>
    <col min="15640" max="15640" width="21.453125" style="33" customWidth="1"/>
    <col min="15641" max="15641" width="16" style="33" customWidth="1"/>
    <col min="15642" max="15642" width="10.26953125" style="33" customWidth="1"/>
    <col min="15643" max="15874" width="10.81640625" style="33"/>
    <col min="15875" max="15875" width="4" style="33" customWidth="1"/>
    <col min="15876" max="15876" width="17.54296875" style="33" customWidth="1"/>
    <col min="15877" max="15877" width="21.7265625" style="33" customWidth="1"/>
    <col min="15878" max="15878" width="23.81640625" style="33" customWidth="1"/>
    <col min="15879" max="15879" width="15.26953125" style="33" customWidth="1"/>
    <col min="15880" max="15891" width="5.7265625" style="33" customWidth="1"/>
    <col min="15892" max="15892" width="14.81640625" style="33" customWidth="1"/>
    <col min="15893" max="15893" width="17.26953125" style="33" customWidth="1"/>
    <col min="15894" max="15894" width="17.54296875" style="33" customWidth="1"/>
    <col min="15895" max="15895" width="14.81640625" style="33" customWidth="1"/>
    <col min="15896" max="15896" width="21.453125" style="33" customWidth="1"/>
    <col min="15897" max="15897" width="16" style="33" customWidth="1"/>
    <col min="15898" max="15898" width="10.26953125" style="33" customWidth="1"/>
    <col min="15899" max="16130" width="10.81640625" style="33"/>
    <col min="16131" max="16131" width="4" style="33" customWidth="1"/>
    <col min="16132" max="16132" width="17.54296875" style="33" customWidth="1"/>
    <col min="16133" max="16133" width="21.7265625" style="33" customWidth="1"/>
    <col min="16134" max="16134" width="23.81640625" style="33" customWidth="1"/>
    <col min="16135" max="16135" width="15.26953125" style="33" customWidth="1"/>
    <col min="16136" max="16147" width="5.7265625" style="33" customWidth="1"/>
    <col min="16148" max="16148" width="14.81640625" style="33" customWidth="1"/>
    <col min="16149" max="16149" width="17.26953125" style="33" customWidth="1"/>
    <col min="16150" max="16150" width="17.54296875" style="33" customWidth="1"/>
    <col min="16151" max="16151" width="14.81640625" style="33" customWidth="1"/>
    <col min="16152" max="16152" width="21.453125" style="33" customWidth="1"/>
    <col min="16153" max="16153" width="16" style="33" customWidth="1"/>
    <col min="16154" max="16154" width="10.26953125" style="33" customWidth="1"/>
    <col min="16155" max="16383" width="10.81640625" style="33"/>
    <col min="16384" max="16384" width="10.81640625" style="33" customWidth="1"/>
  </cols>
  <sheetData>
    <row r="1" spans="1:33" ht="25.5" customHeight="1">
      <c r="A1" s="338" t="s">
        <v>99</v>
      </c>
      <c r="B1" s="339"/>
      <c r="C1" s="339"/>
      <c r="D1" s="339"/>
      <c r="E1" s="339"/>
      <c r="F1" s="339"/>
      <c r="G1" s="339"/>
      <c r="H1" s="339"/>
      <c r="I1" s="339"/>
      <c r="J1" s="339"/>
      <c r="K1" s="339"/>
      <c r="L1" s="339"/>
      <c r="M1" s="339"/>
      <c r="N1" s="339"/>
      <c r="O1" s="339"/>
      <c r="P1" s="339"/>
      <c r="Q1" s="339"/>
      <c r="R1" s="339"/>
      <c r="S1" s="339"/>
      <c r="T1" s="339"/>
      <c r="U1" s="339"/>
      <c r="V1" s="339"/>
      <c r="W1" s="339"/>
      <c r="X1" s="339"/>
      <c r="Y1" s="339"/>
      <c r="Z1" s="340"/>
    </row>
    <row r="2" spans="1:33" ht="15.75" customHeight="1">
      <c r="A2" s="341"/>
      <c r="B2" s="342"/>
      <c r="C2" s="342"/>
      <c r="D2" s="342"/>
      <c r="E2" s="342"/>
      <c r="F2" s="342"/>
      <c r="G2" s="342"/>
      <c r="H2" s="342"/>
      <c r="I2" s="342"/>
      <c r="J2" s="342"/>
      <c r="K2" s="342"/>
      <c r="L2" s="342"/>
      <c r="M2" s="342"/>
      <c r="N2" s="342"/>
      <c r="O2" s="342"/>
      <c r="P2" s="342"/>
      <c r="Q2" s="342"/>
      <c r="R2" s="342"/>
      <c r="S2" s="342"/>
      <c r="T2" s="342"/>
      <c r="U2" s="342"/>
      <c r="V2" s="342"/>
      <c r="W2" s="342"/>
      <c r="X2" s="342"/>
      <c r="Y2" s="342"/>
      <c r="Z2" s="343"/>
    </row>
    <row r="3" spans="1:33" ht="21" customHeight="1" thickBot="1">
      <c r="A3" s="344"/>
      <c r="B3" s="345"/>
      <c r="C3" s="345"/>
      <c r="D3" s="345"/>
      <c r="E3" s="345"/>
      <c r="F3" s="345"/>
      <c r="G3" s="345"/>
      <c r="H3" s="345"/>
      <c r="I3" s="345"/>
      <c r="J3" s="345"/>
      <c r="K3" s="345"/>
      <c r="L3" s="345"/>
      <c r="M3" s="345"/>
      <c r="N3" s="345"/>
      <c r="O3" s="345"/>
      <c r="P3" s="345"/>
      <c r="Q3" s="345"/>
      <c r="R3" s="345"/>
      <c r="S3" s="345"/>
      <c r="T3" s="345"/>
      <c r="U3" s="345"/>
      <c r="V3" s="345"/>
      <c r="W3" s="345"/>
      <c r="X3" s="345"/>
      <c r="Y3" s="345"/>
      <c r="Z3" s="346"/>
      <c r="AC3" s="33" t="s">
        <v>100</v>
      </c>
    </row>
    <row r="4" spans="1:33" ht="6" customHeight="1">
      <c r="A4" s="34"/>
      <c r="B4" s="34"/>
      <c r="C4" s="34"/>
      <c r="D4" s="35"/>
      <c r="E4" s="35"/>
      <c r="F4" s="35"/>
      <c r="G4" s="35"/>
      <c r="H4" s="35"/>
      <c r="I4" s="35"/>
      <c r="J4" s="35"/>
      <c r="K4" s="35"/>
      <c r="L4" s="35"/>
      <c r="M4" s="35"/>
      <c r="N4" s="35"/>
      <c r="O4" s="35"/>
      <c r="P4" s="35"/>
      <c r="Q4" s="35"/>
      <c r="R4" s="35"/>
      <c r="S4" s="35"/>
      <c r="T4" s="35"/>
      <c r="U4" s="35"/>
      <c r="V4" s="35"/>
      <c r="W4" s="35"/>
      <c r="X4" s="35"/>
      <c r="Y4" s="35"/>
      <c r="Z4" s="35"/>
      <c r="AC4" s="33" t="s">
        <v>101</v>
      </c>
    </row>
    <row r="5" spans="1:33" ht="6" customHeight="1">
      <c r="A5" s="36"/>
      <c r="B5" s="36"/>
      <c r="C5" s="36"/>
      <c r="D5" s="36"/>
      <c r="E5" s="36"/>
      <c r="F5" s="36"/>
      <c r="G5" s="36"/>
      <c r="H5" s="36"/>
      <c r="I5" s="36"/>
      <c r="J5" s="36"/>
      <c r="K5" s="36"/>
      <c r="L5" s="36"/>
      <c r="M5" s="36"/>
      <c r="N5" s="36"/>
      <c r="O5" s="36"/>
      <c r="P5" s="36"/>
      <c r="Q5" s="36" t="s">
        <v>102</v>
      </c>
      <c r="R5" s="36"/>
      <c r="S5" s="36"/>
      <c r="T5" s="36"/>
      <c r="U5" s="36"/>
      <c r="V5" s="36"/>
      <c r="W5" s="36"/>
      <c r="X5" s="36"/>
      <c r="Y5" s="36"/>
      <c r="Z5" s="36"/>
      <c r="AC5" s="33" t="s">
        <v>103</v>
      </c>
    </row>
    <row r="6" spans="1:33" s="39" customFormat="1" ht="32.15" customHeight="1">
      <c r="A6" s="331" t="s">
        <v>104</v>
      </c>
      <c r="B6" s="331"/>
      <c r="C6" s="331"/>
      <c r="D6" s="347" t="s">
        <v>53</v>
      </c>
      <c r="E6" s="347"/>
      <c r="F6" s="347"/>
      <c r="G6" s="347"/>
      <c r="H6" s="347"/>
      <c r="I6" s="347"/>
      <c r="J6" s="347"/>
      <c r="K6" s="347"/>
      <c r="L6" s="347"/>
      <c r="M6" s="347"/>
      <c r="N6" s="347"/>
      <c r="O6" s="347"/>
      <c r="P6" s="347"/>
      <c r="Q6" s="347"/>
      <c r="R6" s="347"/>
      <c r="S6" s="347"/>
      <c r="T6" s="347"/>
      <c r="U6" s="347"/>
      <c r="V6" s="347"/>
      <c r="W6" s="347"/>
      <c r="X6" s="347"/>
      <c r="Y6" s="347"/>
      <c r="Z6" s="347"/>
      <c r="AA6" s="37"/>
      <c r="AB6" s="37"/>
      <c r="AC6" s="38" t="s">
        <v>105</v>
      </c>
      <c r="AD6" s="37"/>
      <c r="AE6" s="37"/>
      <c r="AF6" s="37"/>
      <c r="AG6" s="37"/>
    </row>
    <row r="7" spans="1:33" ht="57" customHeight="1">
      <c r="A7" s="331" t="s">
        <v>106</v>
      </c>
      <c r="B7" s="331"/>
      <c r="C7" s="331"/>
      <c r="D7" s="348" t="s">
        <v>0</v>
      </c>
      <c r="E7" s="348"/>
      <c r="F7" s="348"/>
      <c r="G7" s="348"/>
      <c r="H7" s="348"/>
      <c r="I7" s="348"/>
      <c r="J7" s="348"/>
      <c r="K7" s="348"/>
      <c r="L7" s="348"/>
      <c r="M7" s="348"/>
      <c r="N7" s="331" t="s">
        <v>107</v>
      </c>
      <c r="O7" s="331"/>
      <c r="P7" s="331"/>
      <c r="Q7" s="331"/>
      <c r="R7" s="331"/>
      <c r="S7" s="349"/>
      <c r="T7" s="350"/>
      <c r="U7" s="350"/>
      <c r="V7" s="350"/>
      <c r="W7" s="350"/>
      <c r="X7" s="350"/>
      <c r="Y7" s="350"/>
      <c r="Z7" s="351"/>
    </row>
    <row r="8" spans="1:33" ht="32.15" customHeight="1">
      <c r="A8" s="331" t="s">
        <v>108</v>
      </c>
      <c r="B8" s="331"/>
      <c r="C8" s="331"/>
      <c r="D8" s="348" t="s">
        <v>109</v>
      </c>
      <c r="E8" s="348"/>
      <c r="F8" s="348"/>
      <c r="G8" s="348"/>
      <c r="H8" s="348"/>
      <c r="I8" s="348"/>
      <c r="J8" s="348"/>
      <c r="K8" s="348"/>
      <c r="L8" s="348"/>
      <c r="M8" s="348"/>
      <c r="N8" s="331" t="s">
        <v>110</v>
      </c>
      <c r="O8" s="331"/>
      <c r="P8" s="331"/>
      <c r="Q8" s="331"/>
      <c r="R8" s="331"/>
      <c r="S8" s="335" t="s">
        <v>46</v>
      </c>
      <c r="T8" s="336"/>
      <c r="U8" s="336"/>
      <c r="V8" s="336"/>
      <c r="W8" s="336"/>
      <c r="X8" s="336"/>
      <c r="Y8" s="336"/>
      <c r="Z8" s="337"/>
    </row>
    <row r="9" spans="1:33" ht="32.15" customHeight="1">
      <c r="A9" s="331" t="s">
        <v>111</v>
      </c>
      <c r="B9" s="331"/>
      <c r="C9" s="331"/>
      <c r="D9" s="332" t="s">
        <v>112</v>
      </c>
      <c r="E9" s="332"/>
      <c r="F9" s="332"/>
      <c r="G9" s="332"/>
      <c r="H9" s="332"/>
      <c r="I9" s="332"/>
      <c r="J9" s="332"/>
      <c r="K9" s="332"/>
      <c r="L9" s="332"/>
      <c r="M9" s="332"/>
      <c r="N9" s="332"/>
      <c r="O9" s="332"/>
      <c r="P9" s="332"/>
      <c r="Q9" s="332"/>
      <c r="R9" s="332"/>
      <c r="S9" s="332"/>
      <c r="T9" s="332"/>
      <c r="U9" s="332"/>
      <c r="V9" s="332"/>
      <c r="W9" s="332"/>
      <c r="X9" s="332"/>
      <c r="Y9" s="332"/>
      <c r="Z9" s="332"/>
    </row>
    <row r="10" spans="1:33" ht="32.15" customHeight="1">
      <c r="A10" s="333" t="s">
        <v>113</v>
      </c>
      <c r="B10" s="333"/>
      <c r="C10" s="333"/>
      <c r="D10" s="334" t="s">
        <v>8</v>
      </c>
      <c r="E10" s="334"/>
      <c r="F10" s="334"/>
      <c r="G10" s="334"/>
      <c r="H10" s="334"/>
      <c r="I10" s="334"/>
      <c r="J10" s="334"/>
      <c r="K10" s="334"/>
      <c r="L10" s="334"/>
      <c r="M10" s="334"/>
      <c r="N10" s="333" t="s">
        <v>114</v>
      </c>
      <c r="O10" s="333"/>
      <c r="P10" s="333"/>
      <c r="Q10" s="333"/>
      <c r="R10" s="333"/>
      <c r="S10" s="335" t="s">
        <v>115</v>
      </c>
      <c r="T10" s="336"/>
      <c r="U10" s="336"/>
      <c r="V10" s="336"/>
      <c r="W10" s="336"/>
      <c r="X10" s="336"/>
      <c r="Y10" s="336"/>
      <c r="Z10" s="337"/>
    </row>
    <row r="11" spans="1:33" ht="22.5" customHeight="1">
      <c r="A11" s="330" t="s">
        <v>116</v>
      </c>
      <c r="B11" s="330" t="s">
        <v>117</v>
      </c>
      <c r="C11" s="330"/>
      <c r="D11" s="330" t="s">
        <v>118</v>
      </c>
      <c r="E11" s="330" t="s">
        <v>113</v>
      </c>
      <c r="F11" s="331" t="s">
        <v>119</v>
      </c>
      <c r="G11" s="331"/>
      <c r="H11" s="331"/>
      <c r="I11" s="331"/>
      <c r="J11" s="331"/>
      <c r="K11" s="331"/>
      <c r="L11" s="331"/>
      <c r="M11" s="331"/>
      <c r="N11" s="331"/>
      <c r="O11" s="331"/>
      <c r="P11" s="331"/>
      <c r="Q11" s="331"/>
      <c r="R11" s="330" t="s">
        <v>120</v>
      </c>
      <c r="S11" s="327" t="s">
        <v>121</v>
      </c>
      <c r="T11" s="328"/>
      <c r="U11" s="328"/>
      <c r="V11" s="329"/>
      <c r="W11" s="330" t="s">
        <v>122</v>
      </c>
      <c r="X11" s="330" t="s">
        <v>123</v>
      </c>
      <c r="Y11" s="330" t="s">
        <v>124</v>
      </c>
      <c r="Z11" s="330"/>
    </row>
    <row r="12" spans="1:33" ht="34.5" customHeight="1">
      <c r="A12" s="330"/>
      <c r="B12" s="330"/>
      <c r="C12" s="330"/>
      <c r="D12" s="330"/>
      <c r="E12" s="330"/>
      <c r="F12" s="40" t="s">
        <v>101</v>
      </c>
      <c r="G12" s="40" t="s">
        <v>125</v>
      </c>
      <c r="H12" s="40" t="s">
        <v>126</v>
      </c>
      <c r="I12" s="40" t="s">
        <v>127</v>
      </c>
      <c r="J12" s="40" t="s">
        <v>126</v>
      </c>
      <c r="K12" s="40" t="s">
        <v>128</v>
      </c>
      <c r="L12" s="40" t="s">
        <v>128</v>
      </c>
      <c r="M12" s="40" t="s">
        <v>127</v>
      </c>
      <c r="N12" s="40" t="s">
        <v>129</v>
      </c>
      <c r="O12" s="40" t="s">
        <v>130</v>
      </c>
      <c r="P12" s="40" t="s">
        <v>105</v>
      </c>
      <c r="Q12" s="40" t="s">
        <v>131</v>
      </c>
      <c r="R12" s="330"/>
      <c r="S12" s="40" t="s">
        <v>132</v>
      </c>
      <c r="T12" s="40" t="s">
        <v>133</v>
      </c>
      <c r="U12" s="40" t="s">
        <v>134</v>
      </c>
      <c r="V12" s="40" t="s">
        <v>135</v>
      </c>
      <c r="W12" s="330"/>
      <c r="X12" s="330"/>
      <c r="Y12" s="330"/>
      <c r="Z12" s="330"/>
    </row>
    <row r="13" spans="1:33" ht="35.15" customHeight="1">
      <c r="A13" s="322">
        <v>1</v>
      </c>
      <c r="B13" s="318" t="s">
        <v>136</v>
      </c>
      <c r="C13" s="319"/>
      <c r="D13" s="316" t="s">
        <v>137</v>
      </c>
      <c r="E13" s="316" t="s">
        <v>8</v>
      </c>
      <c r="F13" s="42" t="s">
        <v>100</v>
      </c>
      <c r="G13" s="42" t="s">
        <v>100</v>
      </c>
      <c r="H13" s="42" t="s">
        <v>100</v>
      </c>
      <c r="I13" s="42" t="s">
        <v>100</v>
      </c>
      <c r="J13" s="42" t="s">
        <v>100</v>
      </c>
      <c r="K13" s="42" t="s">
        <v>100</v>
      </c>
      <c r="L13" s="42" t="s">
        <v>100</v>
      </c>
      <c r="M13" s="42" t="s">
        <v>100</v>
      </c>
      <c r="N13" s="42" t="s">
        <v>100</v>
      </c>
      <c r="O13" s="42" t="s">
        <v>100</v>
      </c>
      <c r="P13" s="42" t="s">
        <v>100</v>
      </c>
      <c r="Q13" s="42" t="s">
        <v>100</v>
      </c>
      <c r="R13" s="325" t="s">
        <v>46</v>
      </c>
      <c r="S13" s="316">
        <f>COUNTIF(F13:Q13,"P")</f>
        <v>12</v>
      </c>
      <c r="T13" s="316">
        <f>COUNTIF(F13:Q13,"R")</f>
        <v>0</v>
      </c>
      <c r="U13" s="316">
        <f>COUNTIF(F14:Q14,"E")</f>
        <v>12</v>
      </c>
      <c r="V13" s="316">
        <f>COUNTIF(F14:Q14,"N")</f>
        <v>0</v>
      </c>
      <c r="W13" s="314">
        <f>U13/S13</f>
        <v>1</v>
      </c>
      <c r="X13" s="316"/>
      <c r="Y13" s="318"/>
      <c r="Z13" s="319"/>
    </row>
    <row r="14" spans="1:33" ht="35.15" customHeight="1">
      <c r="A14" s="323"/>
      <c r="B14" s="320"/>
      <c r="C14" s="321"/>
      <c r="D14" s="317"/>
      <c r="E14" s="317"/>
      <c r="F14" s="42" t="s">
        <v>101</v>
      </c>
      <c r="G14" s="42" t="s">
        <v>101</v>
      </c>
      <c r="H14" s="42" t="s">
        <v>101</v>
      </c>
      <c r="I14" s="42" t="s">
        <v>101</v>
      </c>
      <c r="J14" s="42" t="s">
        <v>101</v>
      </c>
      <c r="K14" s="42" t="s">
        <v>101</v>
      </c>
      <c r="L14" s="42" t="s">
        <v>101</v>
      </c>
      <c r="M14" s="42" t="s">
        <v>101</v>
      </c>
      <c r="N14" s="42" t="s">
        <v>101</v>
      </c>
      <c r="O14" s="42" t="s">
        <v>101</v>
      </c>
      <c r="P14" s="42" t="s">
        <v>101</v>
      </c>
      <c r="Q14" s="42" t="s">
        <v>101</v>
      </c>
      <c r="R14" s="326"/>
      <c r="S14" s="317"/>
      <c r="T14" s="317"/>
      <c r="U14" s="317"/>
      <c r="V14" s="317"/>
      <c r="W14" s="315"/>
      <c r="X14" s="317"/>
      <c r="Y14" s="320"/>
      <c r="Z14" s="321"/>
    </row>
    <row r="15" spans="1:33" ht="35.15" customHeight="1">
      <c r="A15" s="322">
        <v>2</v>
      </c>
      <c r="B15" s="318" t="s">
        <v>138</v>
      </c>
      <c r="C15" s="319"/>
      <c r="D15" s="316" t="s">
        <v>137</v>
      </c>
      <c r="E15" s="316" t="s">
        <v>8</v>
      </c>
      <c r="F15" s="42" t="s">
        <v>100</v>
      </c>
      <c r="G15" s="42" t="s">
        <v>100</v>
      </c>
      <c r="H15" s="42" t="s">
        <v>100</v>
      </c>
      <c r="I15" s="42" t="s">
        <v>100</v>
      </c>
      <c r="J15" s="42" t="s">
        <v>100</v>
      </c>
      <c r="K15" s="42" t="s">
        <v>100</v>
      </c>
      <c r="L15" s="42" t="s">
        <v>100</v>
      </c>
      <c r="M15" s="42" t="s">
        <v>100</v>
      </c>
      <c r="N15" s="42" t="s">
        <v>100</v>
      </c>
      <c r="O15" s="42" t="s">
        <v>100</v>
      </c>
      <c r="P15" s="42" t="s">
        <v>100</v>
      </c>
      <c r="Q15" s="42" t="s">
        <v>100</v>
      </c>
      <c r="R15" s="325" t="s">
        <v>46</v>
      </c>
      <c r="S15" s="316">
        <f>COUNTIF(F15:Q15,"P")</f>
        <v>12</v>
      </c>
      <c r="T15" s="316">
        <f>COUNTIF(F15:Q15,"R")</f>
        <v>0</v>
      </c>
      <c r="U15" s="316">
        <f>COUNTIF(F16:Q16,"E")</f>
        <v>12</v>
      </c>
      <c r="V15" s="316">
        <f>COUNTIF(F16:Q16,"N")</f>
        <v>0</v>
      </c>
      <c r="W15" s="314">
        <f>U15/S15</f>
        <v>1</v>
      </c>
      <c r="X15" s="316"/>
      <c r="Y15" s="318"/>
      <c r="Z15" s="319"/>
    </row>
    <row r="16" spans="1:33" ht="35.15" customHeight="1">
      <c r="A16" s="323"/>
      <c r="B16" s="320"/>
      <c r="C16" s="321"/>
      <c r="D16" s="317"/>
      <c r="E16" s="317"/>
      <c r="F16" s="42" t="s">
        <v>101</v>
      </c>
      <c r="G16" s="42" t="s">
        <v>101</v>
      </c>
      <c r="H16" s="42" t="s">
        <v>101</v>
      </c>
      <c r="I16" s="42" t="s">
        <v>101</v>
      </c>
      <c r="J16" s="42" t="s">
        <v>101</v>
      </c>
      <c r="K16" s="42" t="s">
        <v>101</v>
      </c>
      <c r="L16" s="42" t="s">
        <v>101</v>
      </c>
      <c r="M16" s="42" t="s">
        <v>101</v>
      </c>
      <c r="N16" s="42" t="s">
        <v>101</v>
      </c>
      <c r="O16" s="42" t="s">
        <v>101</v>
      </c>
      <c r="P16" s="42" t="s">
        <v>101</v>
      </c>
      <c r="Q16" s="42" t="s">
        <v>101</v>
      </c>
      <c r="R16" s="326"/>
      <c r="S16" s="317"/>
      <c r="T16" s="317"/>
      <c r="U16" s="317"/>
      <c r="V16" s="317"/>
      <c r="W16" s="315"/>
      <c r="X16" s="317"/>
      <c r="Y16" s="320"/>
      <c r="Z16" s="321"/>
    </row>
    <row r="17" spans="1:26" ht="35.15" customHeight="1">
      <c r="A17" s="322">
        <v>3</v>
      </c>
      <c r="B17" s="318" t="s">
        <v>139</v>
      </c>
      <c r="C17" s="319"/>
      <c r="D17" s="316" t="s">
        <v>137</v>
      </c>
      <c r="E17" s="316" t="s">
        <v>8</v>
      </c>
      <c r="F17" s="42" t="s">
        <v>100</v>
      </c>
      <c r="G17" s="42" t="s">
        <v>100</v>
      </c>
      <c r="H17" s="42" t="s">
        <v>100</v>
      </c>
      <c r="I17" s="42" t="s">
        <v>100</v>
      </c>
      <c r="J17" s="42" t="s">
        <v>100</v>
      </c>
      <c r="K17" s="42" t="s">
        <v>100</v>
      </c>
      <c r="L17" s="42" t="s">
        <v>100</v>
      </c>
      <c r="M17" s="42" t="s">
        <v>100</v>
      </c>
      <c r="N17" s="42" t="s">
        <v>100</v>
      </c>
      <c r="O17" s="42" t="s">
        <v>100</v>
      </c>
      <c r="P17" s="42" t="s">
        <v>100</v>
      </c>
      <c r="Q17" s="42" t="s">
        <v>100</v>
      </c>
      <c r="R17" s="325" t="s">
        <v>46</v>
      </c>
      <c r="S17" s="316">
        <f>COUNTIF(F17:Q17,"P")</f>
        <v>12</v>
      </c>
      <c r="T17" s="316">
        <f>COUNTIF(F17:Q17,"R")</f>
        <v>0</v>
      </c>
      <c r="U17" s="316">
        <f>COUNTIF(F18:Q18,"E")</f>
        <v>12</v>
      </c>
      <c r="V17" s="316">
        <f>COUNTIF(F18:Q18,"N")</f>
        <v>0</v>
      </c>
      <c r="W17" s="314">
        <f>U17/S17</f>
        <v>1</v>
      </c>
      <c r="X17" s="316"/>
      <c r="Y17" s="50"/>
      <c r="Z17" s="51"/>
    </row>
    <row r="18" spans="1:26" ht="35.15" customHeight="1">
      <c r="A18" s="323"/>
      <c r="B18" s="320"/>
      <c r="C18" s="321"/>
      <c r="D18" s="317"/>
      <c r="E18" s="317"/>
      <c r="F18" s="42" t="s">
        <v>101</v>
      </c>
      <c r="G18" s="42" t="s">
        <v>101</v>
      </c>
      <c r="H18" s="42" t="s">
        <v>101</v>
      </c>
      <c r="I18" s="42" t="s">
        <v>101</v>
      </c>
      <c r="J18" s="42" t="s">
        <v>101</v>
      </c>
      <c r="K18" s="42" t="s">
        <v>101</v>
      </c>
      <c r="L18" s="42" t="s">
        <v>101</v>
      </c>
      <c r="M18" s="42" t="s">
        <v>101</v>
      </c>
      <c r="N18" s="42" t="s">
        <v>101</v>
      </c>
      <c r="O18" s="42" t="s">
        <v>101</v>
      </c>
      <c r="P18" s="42" t="s">
        <v>101</v>
      </c>
      <c r="Q18" s="42" t="s">
        <v>101</v>
      </c>
      <c r="R18" s="326"/>
      <c r="S18" s="317"/>
      <c r="T18" s="317"/>
      <c r="U18" s="317"/>
      <c r="V18" s="317"/>
      <c r="W18" s="315"/>
      <c r="X18" s="317"/>
      <c r="Y18" s="50"/>
      <c r="Z18" s="51"/>
    </row>
    <row r="19" spans="1:26" ht="47.25" customHeight="1">
      <c r="A19" s="322">
        <v>4</v>
      </c>
      <c r="B19" s="318" t="s">
        <v>140</v>
      </c>
      <c r="C19" s="319"/>
      <c r="D19" s="316" t="s">
        <v>137</v>
      </c>
      <c r="E19" s="316" t="s">
        <v>8</v>
      </c>
      <c r="F19" s="42" t="s">
        <v>100</v>
      </c>
      <c r="G19" s="42" t="s">
        <v>100</v>
      </c>
      <c r="H19" s="42" t="s">
        <v>100</v>
      </c>
      <c r="I19" s="42" t="s">
        <v>100</v>
      </c>
      <c r="J19" s="42" t="s">
        <v>100</v>
      </c>
      <c r="K19" s="42" t="s">
        <v>100</v>
      </c>
      <c r="L19" s="42" t="s">
        <v>100</v>
      </c>
      <c r="M19" s="42" t="s">
        <v>100</v>
      </c>
      <c r="N19" s="42" t="s">
        <v>100</v>
      </c>
      <c r="O19" s="42" t="s">
        <v>100</v>
      </c>
      <c r="P19" s="42" t="s">
        <v>100</v>
      </c>
      <c r="Q19" s="42" t="s">
        <v>100</v>
      </c>
      <c r="R19" s="325" t="s">
        <v>46</v>
      </c>
      <c r="S19" s="316">
        <f>COUNTIF(F19:Q19,"P")</f>
        <v>12</v>
      </c>
      <c r="T19" s="316">
        <f>COUNTIF(F19:Q19,"R")</f>
        <v>0</v>
      </c>
      <c r="U19" s="316">
        <f>COUNTIF(F20:Q20,"E")</f>
        <v>12</v>
      </c>
      <c r="V19" s="316">
        <f>COUNTIF(F20:Q20,"N")</f>
        <v>0</v>
      </c>
      <c r="W19" s="314">
        <f>U19/S19</f>
        <v>1</v>
      </c>
      <c r="X19" s="316"/>
      <c r="Y19" s="318"/>
      <c r="Z19" s="319"/>
    </row>
    <row r="20" spans="1:26" ht="40.5" customHeight="1">
      <c r="A20" s="323"/>
      <c r="B20" s="320"/>
      <c r="C20" s="321"/>
      <c r="D20" s="317"/>
      <c r="E20" s="317"/>
      <c r="F20" s="42" t="s">
        <v>101</v>
      </c>
      <c r="G20" s="42" t="s">
        <v>101</v>
      </c>
      <c r="H20" s="42" t="s">
        <v>101</v>
      </c>
      <c r="I20" s="42" t="s">
        <v>101</v>
      </c>
      <c r="J20" s="42" t="s">
        <v>101</v>
      </c>
      <c r="K20" s="42" t="s">
        <v>101</v>
      </c>
      <c r="L20" s="42" t="s">
        <v>101</v>
      </c>
      <c r="M20" s="42" t="s">
        <v>101</v>
      </c>
      <c r="N20" s="42" t="s">
        <v>101</v>
      </c>
      <c r="O20" s="42" t="s">
        <v>101</v>
      </c>
      <c r="P20" s="42" t="s">
        <v>101</v>
      </c>
      <c r="Q20" s="42" t="s">
        <v>101</v>
      </c>
      <c r="R20" s="326"/>
      <c r="S20" s="317"/>
      <c r="T20" s="317"/>
      <c r="U20" s="317"/>
      <c r="V20" s="317"/>
      <c r="W20" s="315"/>
      <c r="X20" s="317"/>
      <c r="Y20" s="320"/>
      <c r="Z20" s="321"/>
    </row>
    <row r="21" spans="1:26" ht="35.15" customHeight="1">
      <c r="A21" s="322">
        <v>5</v>
      </c>
      <c r="B21" s="318" t="s">
        <v>141</v>
      </c>
      <c r="C21" s="319"/>
      <c r="D21" s="316" t="s">
        <v>137</v>
      </c>
      <c r="E21" s="316" t="s">
        <v>8</v>
      </c>
      <c r="F21" s="42" t="s">
        <v>100</v>
      </c>
      <c r="G21" s="42" t="s">
        <v>100</v>
      </c>
      <c r="H21" s="42" t="s">
        <v>100</v>
      </c>
      <c r="I21" s="42" t="s">
        <v>100</v>
      </c>
      <c r="J21" s="42" t="s">
        <v>100</v>
      </c>
      <c r="K21" s="42" t="s">
        <v>100</v>
      </c>
      <c r="L21" s="42" t="s">
        <v>100</v>
      </c>
      <c r="M21" s="42" t="s">
        <v>100</v>
      </c>
      <c r="N21" s="42" t="s">
        <v>100</v>
      </c>
      <c r="O21" s="42" t="s">
        <v>100</v>
      </c>
      <c r="P21" s="42" t="s">
        <v>100</v>
      </c>
      <c r="Q21" s="42" t="s">
        <v>100</v>
      </c>
      <c r="R21" s="325" t="s">
        <v>46</v>
      </c>
      <c r="S21" s="316">
        <f>COUNTIF(F21:Q21,"P")</f>
        <v>12</v>
      </c>
      <c r="T21" s="316">
        <f>COUNTIF(F21:Q21,"R")</f>
        <v>0</v>
      </c>
      <c r="U21" s="316">
        <f>COUNTIF(F22:Q22,"E")</f>
        <v>12</v>
      </c>
      <c r="V21" s="316">
        <f>COUNTIF(F22:Q22,"N")</f>
        <v>0</v>
      </c>
      <c r="W21" s="314">
        <f t="shared" ref="W21" si="0">U21/S21</f>
        <v>1</v>
      </c>
      <c r="X21" s="316"/>
      <c r="Y21" s="318"/>
      <c r="Z21" s="319"/>
    </row>
    <row r="22" spans="1:26" ht="35.15" customHeight="1">
      <c r="A22" s="323"/>
      <c r="B22" s="320"/>
      <c r="C22" s="321"/>
      <c r="D22" s="317"/>
      <c r="E22" s="317"/>
      <c r="F22" s="42" t="s">
        <v>101</v>
      </c>
      <c r="G22" s="42" t="s">
        <v>101</v>
      </c>
      <c r="H22" s="42" t="s">
        <v>101</v>
      </c>
      <c r="I22" s="42" t="s">
        <v>101</v>
      </c>
      <c r="J22" s="42" t="s">
        <v>101</v>
      </c>
      <c r="K22" s="42" t="s">
        <v>101</v>
      </c>
      <c r="L22" s="42" t="s">
        <v>101</v>
      </c>
      <c r="M22" s="42" t="s">
        <v>101</v>
      </c>
      <c r="N22" s="42" t="s">
        <v>101</v>
      </c>
      <c r="O22" s="42" t="s">
        <v>101</v>
      </c>
      <c r="P22" s="42" t="s">
        <v>101</v>
      </c>
      <c r="Q22" s="42" t="s">
        <v>101</v>
      </c>
      <c r="R22" s="326"/>
      <c r="S22" s="317"/>
      <c r="T22" s="317"/>
      <c r="U22" s="317"/>
      <c r="V22" s="317"/>
      <c r="W22" s="315"/>
      <c r="X22" s="317"/>
      <c r="Y22" s="320"/>
      <c r="Z22" s="321"/>
    </row>
    <row r="23" spans="1:26" ht="35.15" hidden="1" customHeight="1">
      <c r="A23" s="322">
        <v>3</v>
      </c>
      <c r="B23" s="318"/>
      <c r="C23" s="319"/>
      <c r="D23" s="316"/>
      <c r="E23" s="316"/>
      <c r="F23" s="41"/>
      <c r="G23" s="42"/>
      <c r="H23" s="42"/>
      <c r="I23" s="42"/>
      <c r="J23" s="42"/>
      <c r="K23" s="42"/>
      <c r="L23" s="42"/>
      <c r="M23" s="42"/>
      <c r="N23" s="42"/>
      <c r="O23" s="42" t="s">
        <v>101</v>
      </c>
      <c r="P23" s="42"/>
      <c r="Q23" s="42"/>
      <c r="R23" s="325" t="s">
        <v>46</v>
      </c>
      <c r="S23" s="316">
        <f t="shared" ref="S23" si="1">COUNTIF(F23:Q23,"P")</f>
        <v>0</v>
      </c>
      <c r="T23" s="316">
        <f t="shared" ref="T23" si="2">COUNTIF(F23:Q23,"R")</f>
        <v>0</v>
      </c>
      <c r="U23" s="316">
        <f t="shared" ref="U23" si="3">COUNTIF(F24:Q24,"E")</f>
        <v>0</v>
      </c>
      <c r="V23" s="316">
        <f t="shared" ref="V23" si="4">COUNTIF(F24:Q24,"N")</f>
        <v>0</v>
      </c>
      <c r="W23" s="314" t="e">
        <f t="shared" ref="W23" si="5">U23/S23</f>
        <v>#DIV/0!</v>
      </c>
      <c r="X23" s="316"/>
      <c r="Y23" s="318"/>
      <c r="Z23" s="319"/>
    </row>
    <row r="24" spans="1:26" ht="35.15" hidden="1" customHeight="1">
      <c r="A24" s="323"/>
      <c r="B24" s="320"/>
      <c r="C24" s="321"/>
      <c r="D24" s="317"/>
      <c r="E24" s="317"/>
      <c r="F24" s="41"/>
      <c r="G24" s="42"/>
      <c r="H24" s="42"/>
      <c r="I24" s="42"/>
      <c r="J24" s="42"/>
      <c r="K24" s="42"/>
      <c r="L24" s="42"/>
      <c r="M24" s="42"/>
      <c r="N24" s="42"/>
      <c r="O24" s="42" t="s">
        <v>100</v>
      </c>
      <c r="P24" s="42"/>
      <c r="Q24" s="42"/>
      <c r="R24" s="326"/>
      <c r="S24" s="317"/>
      <c r="T24" s="317"/>
      <c r="U24" s="317"/>
      <c r="V24" s="317"/>
      <c r="W24" s="315"/>
      <c r="X24" s="317"/>
      <c r="Y24" s="320"/>
      <c r="Z24" s="321"/>
    </row>
    <row r="25" spans="1:26" ht="35.15" hidden="1" customHeight="1">
      <c r="A25" s="322">
        <v>4</v>
      </c>
      <c r="B25" s="318"/>
      <c r="C25" s="319"/>
      <c r="D25" s="316"/>
      <c r="E25" s="316"/>
      <c r="F25" s="41"/>
      <c r="G25" s="42"/>
      <c r="H25" s="42"/>
      <c r="I25" s="42"/>
      <c r="J25" s="42"/>
      <c r="K25" s="42"/>
      <c r="L25" s="42"/>
      <c r="M25" s="42"/>
      <c r="N25" s="42"/>
      <c r="O25" s="42" t="s">
        <v>100</v>
      </c>
      <c r="P25" s="42"/>
      <c r="Q25" s="42"/>
      <c r="R25" s="325" t="s">
        <v>46</v>
      </c>
      <c r="S25" s="316">
        <f t="shared" ref="S25" si="6">COUNTIF(F25:Q25,"P")</f>
        <v>1</v>
      </c>
      <c r="T25" s="316">
        <f t="shared" ref="T25" si="7">COUNTIF(F25:Q25,"R")</f>
        <v>0</v>
      </c>
      <c r="U25" s="316">
        <f t="shared" ref="U25" si="8">COUNTIF(F26:Q26,"E")</f>
        <v>1</v>
      </c>
      <c r="V25" s="316">
        <f t="shared" ref="V25" si="9">COUNTIF(F26:Q26,"N")</f>
        <v>0</v>
      </c>
      <c r="W25" s="314">
        <f t="shared" ref="W25" si="10">U25/S25</f>
        <v>1</v>
      </c>
      <c r="X25" s="316"/>
      <c r="Y25" s="318"/>
      <c r="Z25" s="319"/>
    </row>
    <row r="26" spans="1:26" ht="35.15" hidden="1" customHeight="1">
      <c r="A26" s="323"/>
      <c r="B26" s="320"/>
      <c r="C26" s="321"/>
      <c r="D26" s="317"/>
      <c r="E26" s="317"/>
      <c r="F26" s="41"/>
      <c r="G26" s="42"/>
      <c r="H26" s="42"/>
      <c r="I26" s="42"/>
      <c r="J26" s="42"/>
      <c r="K26" s="42"/>
      <c r="L26" s="42"/>
      <c r="M26" s="42"/>
      <c r="N26" s="42"/>
      <c r="O26" s="42" t="s">
        <v>101</v>
      </c>
      <c r="P26" s="42"/>
      <c r="Q26" s="42"/>
      <c r="R26" s="326"/>
      <c r="S26" s="317"/>
      <c r="T26" s="317"/>
      <c r="U26" s="317"/>
      <c r="V26" s="317"/>
      <c r="W26" s="315"/>
      <c r="X26" s="317"/>
      <c r="Y26" s="320"/>
      <c r="Z26" s="321"/>
    </row>
    <row r="27" spans="1:26" ht="35.15" hidden="1" customHeight="1">
      <c r="A27" s="322">
        <v>5</v>
      </c>
      <c r="B27" s="318"/>
      <c r="C27" s="319"/>
      <c r="D27" s="316"/>
      <c r="E27" s="316"/>
      <c r="F27" s="41"/>
      <c r="G27" s="42"/>
      <c r="H27" s="42"/>
      <c r="I27" s="42"/>
      <c r="J27" s="42"/>
      <c r="K27" s="42"/>
      <c r="L27" s="42"/>
      <c r="M27" s="42"/>
      <c r="N27" s="42"/>
      <c r="O27" s="42" t="s">
        <v>100</v>
      </c>
      <c r="P27" s="42"/>
      <c r="Q27" s="42"/>
      <c r="R27" s="324" t="s">
        <v>46</v>
      </c>
      <c r="S27" s="313">
        <f t="shared" ref="S27" si="11">COUNTIF(F27:Q27,"P")</f>
        <v>1</v>
      </c>
      <c r="T27" s="313">
        <f t="shared" ref="T27" si="12">COUNTIF(F27:Q27,"R")</f>
        <v>0</v>
      </c>
      <c r="U27" s="313">
        <f t="shared" ref="U27" si="13">COUNTIF(F28:Q28,"E")</f>
        <v>0</v>
      </c>
      <c r="V27" s="313">
        <f t="shared" ref="V27" si="14">COUNTIF(F28:Q28,"N")</f>
        <v>0</v>
      </c>
      <c r="W27" s="314">
        <f t="shared" ref="W27" si="15">U27/S27</f>
        <v>0</v>
      </c>
      <c r="X27" s="316"/>
      <c r="Y27" s="318"/>
      <c r="Z27" s="319"/>
    </row>
    <row r="28" spans="1:26" ht="35.15" hidden="1" customHeight="1">
      <c r="A28" s="323"/>
      <c r="B28" s="320"/>
      <c r="C28" s="321"/>
      <c r="D28" s="317"/>
      <c r="E28" s="317"/>
      <c r="F28" s="41"/>
      <c r="G28" s="42"/>
      <c r="H28" s="42"/>
      <c r="I28" s="42"/>
      <c r="J28" s="42"/>
      <c r="K28" s="42"/>
      <c r="L28" s="42"/>
      <c r="M28" s="42"/>
      <c r="N28" s="42"/>
      <c r="O28" s="42" t="s">
        <v>100</v>
      </c>
      <c r="P28" s="42"/>
      <c r="Q28" s="42"/>
      <c r="R28" s="324"/>
      <c r="S28" s="313"/>
      <c r="T28" s="313"/>
      <c r="U28" s="313"/>
      <c r="V28" s="313"/>
      <c r="W28" s="315"/>
      <c r="X28" s="317"/>
      <c r="Y28" s="320"/>
      <c r="Z28" s="321"/>
    </row>
    <row r="29" spans="1:26" ht="23.25" customHeight="1">
      <c r="A29" s="43"/>
      <c r="B29" s="44"/>
      <c r="C29" s="44"/>
      <c r="D29" s="44"/>
      <c r="E29" s="44"/>
      <c r="F29" s="45"/>
      <c r="G29" s="45"/>
      <c r="H29" s="45"/>
      <c r="I29" s="45"/>
      <c r="J29" s="45"/>
      <c r="K29" s="45"/>
      <c r="L29" s="45"/>
      <c r="M29" s="45"/>
      <c r="N29" s="45"/>
      <c r="O29" s="44"/>
      <c r="P29" s="44"/>
      <c r="Q29" s="44"/>
      <c r="R29" s="46"/>
      <c r="S29" s="46"/>
      <c r="T29" s="46"/>
      <c r="U29" s="309" t="s">
        <v>142</v>
      </c>
      <c r="V29" s="309"/>
      <c r="W29" s="47">
        <f>AVERAGE(W13:W21)</f>
        <v>1</v>
      </c>
      <c r="X29" s="44"/>
      <c r="Y29" s="44"/>
      <c r="Z29" s="44"/>
    </row>
    <row r="30" spans="1:26" ht="3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ht="33" customHeight="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6" ht="18.75" customHeight="1">
      <c r="A32" s="310"/>
      <c r="B32" s="311"/>
      <c r="C32" s="311"/>
      <c r="D32" s="311"/>
      <c r="E32" s="311"/>
      <c r="F32" s="311"/>
      <c r="G32" s="311"/>
      <c r="H32" s="311"/>
      <c r="I32" s="311"/>
      <c r="J32" s="311"/>
      <c r="K32" s="311"/>
      <c r="L32" s="311"/>
      <c r="M32" s="311"/>
      <c r="N32" s="311"/>
      <c r="O32" s="311"/>
      <c r="P32" s="311"/>
      <c r="Q32" s="311"/>
      <c r="R32" s="311"/>
      <c r="S32" s="311"/>
      <c r="T32" s="311"/>
      <c r="U32" s="311"/>
      <c r="V32" s="311"/>
      <c r="W32" s="311"/>
      <c r="X32" s="311"/>
      <c r="Y32" s="311"/>
      <c r="Z32" s="312"/>
    </row>
  </sheetData>
  <mergeCells count="124">
    <mergeCell ref="B17:C18"/>
    <mergeCell ref="A17:A18"/>
    <mergeCell ref="D17:D18"/>
    <mergeCell ref="E17:E18"/>
    <mergeCell ref="X19:X20"/>
    <mergeCell ref="Y19:Z20"/>
    <mergeCell ref="R17:R18"/>
    <mergeCell ref="S17:S18"/>
    <mergeCell ref="T17:T18"/>
    <mergeCell ref="U17:U18"/>
    <mergeCell ref="V17:V18"/>
    <mergeCell ref="W17:W18"/>
    <mergeCell ref="X17:X18"/>
    <mergeCell ref="S19:S20"/>
    <mergeCell ref="T19:T20"/>
    <mergeCell ref="U19:U20"/>
    <mergeCell ref="V19:V20"/>
    <mergeCell ref="W19:W20"/>
    <mergeCell ref="A19:A20"/>
    <mergeCell ref="B19:C20"/>
    <mergeCell ref="D19:D20"/>
    <mergeCell ref="E19:E20"/>
    <mergeCell ref="R19:R20"/>
    <mergeCell ref="X15:X16"/>
    <mergeCell ref="Y15:Z16"/>
    <mergeCell ref="S15:S16"/>
    <mergeCell ref="T15:T16"/>
    <mergeCell ref="U15:U16"/>
    <mergeCell ref="V15:V16"/>
    <mergeCell ref="W15:W16"/>
    <mergeCell ref="A15:A16"/>
    <mergeCell ref="B15:C16"/>
    <mergeCell ref="D15:D16"/>
    <mergeCell ref="E15:E16"/>
    <mergeCell ref="R15:R16"/>
    <mergeCell ref="A1:Z3"/>
    <mergeCell ref="A6:C6"/>
    <mergeCell ref="D6:Z6"/>
    <mergeCell ref="A7:C7"/>
    <mergeCell ref="D7:M7"/>
    <mergeCell ref="N7:R7"/>
    <mergeCell ref="S7:Z7"/>
    <mergeCell ref="A8:C8"/>
    <mergeCell ref="D8:M8"/>
    <mergeCell ref="N8:R8"/>
    <mergeCell ref="S8:Z8"/>
    <mergeCell ref="A9:C9"/>
    <mergeCell ref="D9:Z9"/>
    <mergeCell ref="A10:C10"/>
    <mergeCell ref="D10:M10"/>
    <mergeCell ref="N10:R10"/>
    <mergeCell ref="S10:Z10"/>
    <mergeCell ref="A11:A12"/>
    <mergeCell ref="B11:C12"/>
    <mergeCell ref="D11:D12"/>
    <mergeCell ref="E11:E12"/>
    <mergeCell ref="F11:Q11"/>
    <mergeCell ref="R11:R12"/>
    <mergeCell ref="A13:A14"/>
    <mergeCell ref="B13:C14"/>
    <mergeCell ref="D13:D14"/>
    <mergeCell ref="E13:E14"/>
    <mergeCell ref="R13:R14"/>
    <mergeCell ref="Y13:Z14"/>
    <mergeCell ref="S11:V11"/>
    <mergeCell ref="W11:W12"/>
    <mergeCell ref="X11:X12"/>
    <mergeCell ref="Y11:Z12"/>
    <mergeCell ref="S13:S14"/>
    <mergeCell ref="T13:T14"/>
    <mergeCell ref="U13:U14"/>
    <mergeCell ref="V13:V14"/>
    <mergeCell ref="W13:W14"/>
    <mergeCell ref="X13:X14"/>
    <mergeCell ref="Y21:Z22"/>
    <mergeCell ref="A21:A22"/>
    <mergeCell ref="B21:C22"/>
    <mergeCell ref="D21:D22"/>
    <mergeCell ref="E21:E22"/>
    <mergeCell ref="R21:R22"/>
    <mergeCell ref="S21:S22"/>
    <mergeCell ref="T21:T22"/>
    <mergeCell ref="U21:U22"/>
    <mergeCell ref="V21:V22"/>
    <mergeCell ref="W21:W22"/>
    <mergeCell ref="X21:X22"/>
    <mergeCell ref="Y23:Z24"/>
    <mergeCell ref="A23:A24"/>
    <mergeCell ref="B23:C24"/>
    <mergeCell ref="D23:D24"/>
    <mergeCell ref="E23:E24"/>
    <mergeCell ref="R23:R24"/>
    <mergeCell ref="S23:S24"/>
    <mergeCell ref="T23:T24"/>
    <mergeCell ref="U23:U24"/>
    <mergeCell ref="V23:V24"/>
    <mergeCell ref="W23:W24"/>
    <mergeCell ref="X23:X24"/>
    <mergeCell ref="Y25:Z26"/>
    <mergeCell ref="A25:A26"/>
    <mergeCell ref="B25:C26"/>
    <mergeCell ref="D25:D26"/>
    <mergeCell ref="E25:E26"/>
    <mergeCell ref="R25:R26"/>
    <mergeCell ref="S25:S26"/>
    <mergeCell ref="T25:T26"/>
    <mergeCell ref="U25:U26"/>
    <mergeCell ref="V25:V26"/>
    <mergeCell ref="W25:W26"/>
    <mergeCell ref="X25:X26"/>
    <mergeCell ref="U29:V29"/>
    <mergeCell ref="A32:Z32"/>
    <mergeCell ref="T27:T28"/>
    <mergeCell ref="U27:U28"/>
    <mergeCell ref="V27:V28"/>
    <mergeCell ref="W27:W28"/>
    <mergeCell ref="X27:X28"/>
    <mergeCell ref="Y27:Z28"/>
    <mergeCell ref="A27:A28"/>
    <mergeCell ref="B27:C28"/>
    <mergeCell ref="D27:D28"/>
    <mergeCell ref="E27:E28"/>
    <mergeCell ref="R27:R28"/>
    <mergeCell ref="S27:S28"/>
  </mergeCells>
  <conditionalFormatting sqref="F13:Q22">
    <cfRule type="containsText" dxfId="18" priority="148" operator="containsText" text="N">
      <formula>NOT(ISERROR(SEARCH("N",F13)))</formula>
    </cfRule>
    <cfRule type="containsText" dxfId="17" priority="149" operator="containsText" text="R">
      <formula>NOT(ISERROR(SEARCH("R",F13)))</formula>
    </cfRule>
    <cfRule type="containsText" dxfId="16" priority="150" operator="containsText" text="E">
      <formula>NOT(ISERROR(SEARCH("E",F13)))</formula>
    </cfRule>
    <cfRule type="containsText" dxfId="15" priority="151" operator="containsText" text="P">
      <formula>NOT(ISERROR(SEARCH("P",F13)))</formula>
    </cfRule>
    <cfRule type="cellIs" dxfId="14" priority="152" operator="equal">
      <formula>2</formula>
    </cfRule>
    <cfRule type="cellIs" dxfId="13" priority="153" operator="equal">
      <formula>1</formula>
    </cfRule>
    <cfRule type="cellIs" dxfId="12" priority="154" operator="equal">
      <formula>1</formula>
    </cfRule>
    <cfRule type="cellIs" dxfId="11" priority="155" operator="equal">
      <formula>1</formula>
    </cfRule>
  </conditionalFormatting>
  <conditionalFormatting sqref="G23:Q28">
    <cfRule type="containsText" dxfId="10" priority="132" operator="containsText" text="N">
      <formula>NOT(ISERROR(SEARCH("N",G23)))</formula>
    </cfRule>
    <cfRule type="containsText" dxfId="9" priority="133" operator="containsText" text="R">
      <formula>NOT(ISERROR(SEARCH("R",G23)))</formula>
    </cfRule>
    <cfRule type="containsText" dxfId="8" priority="134" operator="containsText" text="E">
      <formula>NOT(ISERROR(SEARCH("E",G23)))</formula>
    </cfRule>
    <cfRule type="containsText" dxfId="7" priority="135" operator="containsText" text="P">
      <formula>NOT(ISERROR(SEARCH("P",G23)))</formula>
    </cfRule>
    <cfRule type="cellIs" dxfId="6" priority="136" operator="equal">
      <formula>2</formula>
    </cfRule>
    <cfRule type="cellIs" dxfId="5" priority="137" operator="equal">
      <formula>1</formula>
    </cfRule>
    <cfRule type="cellIs" dxfId="4" priority="138" operator="equal">
      <formula>1</formula>
    </cfRule>
    <cfRule type="cellIs" dxfId="3" priority="139" operator="equal">
      <formula>1</formula>
    </cfRule>
  </conditionalFormatting>
  <conditionalFormatting sqref="X13:X22">
    <cfRule type="containsText" dxfId="2" priority="1" operator="containsText" text="Realizado">
      <formula>NOT(ISERROR(SEARCH("Realizado",X13)))</formula>
    </cfRule>
    <cfRule type="containsText" dxfId="1" priority="2" operator="containsText" text="En Proceso">
      <formula>NOT(ISERROR(SEARCH("En Proceso",X13)))</formula>
    </cfRule>
    <cfRule type="containsText" dxfId="0" priority="3" operator="containsText" text="Pendiente">
      <formula>NOT(ISERROR(SEARCH("Pendiente",X13)))</formula>
    </cfRule>
  </conditionalFormatting>
  <dataValidations count="4">
    <dataValidation type="list" allowBlank="1" showInputMessage="1" showErrorMessage="1" sqref="G23:N28 P23:Q28" xr:uid="{00000000-0002-0000-0200-000000000000}">
      <formula1>$AC$3:$AC$6</formula1>
    </dataValidation>
    <dataValidation type="list" allowBlank="1" showInputMessage="1" showErrorMessage="1" sqref="WMI983064:WMI983068 WCM983064:WCM983068 VSQ983064:VSQ983068 VIU983064:VIU983068 UYY983064:UYY983068 UPC983064:UPC983068 UFG983064:UFG983068 TVK983064:TVK983068 TLO983064:TLO983068 TBS983064:TBS983068 SRW983064:SRW983068 SIA983064:SIA983068 RYE983064:RYE983068 ROI983064:ROI983068 REM983064:REM983068 QUQ983064:QUQ983068 QKU983064:QKU983068 QAY983064:QAY983068 PRC983064:PRC983068 PHG983064:PHG983068 OXK983064:OXK983068 ONO983064:ONO983068 ODS983064:ODS983068 NTW983064:NTW983068 NKA983064:NKA983068 NAE983064:NAE983068 MQI983064:MQI983068 MGM983064:MGM983068 LWQ983064:LWQ983068 LMU983064:LMU983068 LCY983064:LCY983068 KTC983064:KTC983068 KJG983064:KJG983068 JZK983064:JZK983068 JPO983064:JPO983068 JFS983064:JFS983068 IVW983064:IVW983068 IMA983064:IMA983068 ICE983064:ICE983068 HSI983064:HSI983068 HIM983064:HIM983068 GYQ983064:GYQ983068 GOU983064:GOU983068 GEY983064:GEY983068 FVC983064:FVC983068 FLG983064:FLG983068 FBK983064:FBK983068 ERO983064:ERO983068 EHS983064:EHS983068 DXW983064:DXW983068 DOA983064:DOA983068 DEE983064:DEE983068 CUI983064:CUI983068 CKM983064:CKM983068 CAQ983064:CAQ983068 BQU983064:BQU983068 BGY983064:BGY983068 AXC983064:AXC983068 ANG983064:ANG983068 ADK983064:ADK983068 TO983064:TO983068 JS983064:JS983068 X983064:X983068 WWE917528:WWE917532 WMI917528:WMI917532 WCM917528:WCM917532 VSQ917528:VSQ917532 VIU917528:VIU917532 UYY917528:UYY917532 UPC917528:UPC917532 UFG917528:UFG917532 TVK917528:TVK917532 TLO917528:TLO917532 TBS917528:TBS917532 SRW917528:SRW917532 SIA917528:SIA917532 RYE917528:RYE917532 ROI917528:ROI917532 REM917528:REM917532 QUQ917528:QUQ917532 QKU917528:QKU917532 QAY917528:QAY917532 PRC917528:PRC917532 PHG917528:PHG917532 OXK917528:OXK917532 ONO917528:ONO917532 ODS917528:ODS917532 NTW917528:NTW917532 NKA917528:NKA917532 NAE917528:NAE917532 MQI917528:MQI917532 MGM917528:MGM917532 LWQ917528:LWQ917532 LMU917528:LMU917532 LCY917528:LCY917532 KTC917528:KTC917532 KJG917528:KJG917532 JZK917528:JZK917532 JPO917528:JPO917532 JFS917528:JFS917532 IVW917528:IVW917532 IMA917528:IMA917532 ICE917528:ICE917532 HSI917528:HSI917532 HIM917528:HIM917532 GYQ917528:GYQ917532 GOU917528:GOU917532 GEY917528:GEY917532 FVC917528:FVC917532 FLG917528:FLG917532 FBK917528:FBK917532 ERO917528:ERO917532 EHS917528:EHS917532 DXW917528:DXW917532 DOA917528:DOA917532 DEE917528:DEE917532 CUI917528:CUI917532 CKM917528:CKM917532 CAQ917528:CAQ917532 BQU917528:BQU917532 BGY917528:BGY917532 AXC917528:AXC917532 ANG917528:ANG917532 ADK917528:ADK917532 TO917528:TO917532 JS917528:JS917532 X917528:X917532 WWE851992:WWE851996 WMI851992:WMI851996 WCM851992:WCM851996 VSQ851992:VSQ851996 VIU851992:VIU851996 UYY851992:UYY851996 UPC851992:UPC851996 UFG851992:UFG851996 TVK851992:TVK851996 TLO851992:TLO851996 TBS851992:TBS851996 SRW851992:SRW851996 SIA851992:SIA851996 RYE851992:RYE851996 ROI851992:ROI851996 REM851992:REM851996 QUQ851992:QUQ851996 QKU851992:QKU851996 QAY851992:QAY851996 PRC851992:PRC851996 PHG851992:PHG851996 OXK851992:OXK851996 ONO851992:ONO851996 ODS851992:ODS851996 NTW851992:NTW851996 NKA851992:NKA851996 NAE851992:NAE851996 MQI851992:MQI851996 MGM851992:MGM851996 LWQ851992:LWQ851996 LMU851992:LMU851996 LCY851992:LCY851996 KTC851992:KTC851996 KJG851992:KJG851996 JZK851992:JZK851996 JPO851992:JPO851996 JFS851992:JFS851996 IVW851992:IVW851996 IMA851992:IMA851996 ICE851992:ICE851996 HSI851992:HSI851996 HIM851992:HIM851996 GYQ851992:GYQ851996 GOU851992:GOU851996 GEY851992:GEY851996 FVC851992:FVC851996 FLG851992:FLG851996 FBK851992:FBK851996 ERO851992:ERO851996 EHS851992:EHS851996 DXW851992:DXW851996 DOA851992:DOA851996 DEE851992:DEE851996 CUI851992:CUI851996 CKM851992:CKM851996 CAQ851992:CAQ851996 BQU851992:BQU851996 BGY851992:BGY851996 AXC851992:AXC851996 ANG851992:ANG851996 ADK851992:ADK851996 TO851992:TO851996 JS851992:JS851996 X851992:X851996 WWE786456:WWE786460 WMI786456:WMI786460 WCM786456:WCM786460 VSQ786456:VSQ786460 VIU786456:VIU786460 UYY786456:UYY786460 UPC786456:UPC786460 UFG786456:UFG786460 TVK786456:TVK786460 TLO786456:TLO786460 TBS786456:TBS786460 SRW786456:SRW786460 SIA786456:SIA786460 RYE786456:RYE786460 ROI786456:ROI786460 REM786456:REM786460 QUQ786456:QUQ786460 QKU786456:QKU786460 QAY786456:QAY786460 PRC786456:PRC786460 PHG786456:PHG786460 OXK786456:OXK786460 ONO786456:ONO786460 ODS786456:ODS786460 NTW786456:NTW786460 NKA786456:NKA786460 NAE786456:NAE786460 MQI786456:MQI786460 MGM786456:MGM786460 LWQ786456:LWQ786460 LMU786456:LMU786460 LCY786456:LCY786460 KTC786456:KTC786460 KJG786456:KJG786460 JZK786456:JZK786460 JPO786456:JPO786460 JFS786456:JFS786460 IVW786456:IVW786460 IMA786456:IMA786460 ICE786456:ICE786460 HSI786456:HSI786460 HIM786456:HIM786460 GYQ786456:GYQ786460 GOU786456:GOU786460 GEY786456:GEY786460 FVC786456:FVC786460 FLG786456:FLG786460 FBK786456:FBK786460 ERO786456:ERO786460 EHS786456:EHS786460 DXW786456:DXW786460 DOA786456:DOA786460 DEE786456:DEE786460 CUI786456:CUI786460 CKM786456:CKM786460 CAQ786456:CAQ786460 BQU786456:BQU786460 BGY786456:BGY786460 AXC786456:AXC786460 ANG786456:ANG786460 ADK786456:ADK786460 TO786456:TO786460 JS786456:JS786460 X786456:X786460 WWE720920:WWE720924 WMI720920:WMI720924 WCM720920:WCM720924 VSQ720920:VSQ720924 VIU720920:VIU720924 UYY720920:UYY720924 UPC720920:UPC720924 UFG720920:UFG720924 TVK720920:TVK720924 TLO720920:TLO720924 TBS720920:TBS720924 SRW720920:SRW720924 SIA720920:SIA720924 RYE720920:RYE720924 ROI720920:ROI720924 REM720920:REM720924 QUQ720920:QUQ720924 QKU720920:QKU720924 QAY720920:QAY720924 PRC720920:PRC720924 PHG720920:PHG720924 OXK720920:OXK720924 ONO720920:ONO720924 ODS720920:ODS720924 NTW720920:NTW720924 NKA720920:NKA720924 NAE720920:NAE720924 MQI720920:MQI720924 MGM720920:MGM720924 LWQ720920:LWQ720924 LMU720920:LMU720924 LCY720920:LCY720924 KTC720920:KTC720924 KJG720920:KJG720924 JZK720920:JZK720924 JPO720920:JPO720924 JFS720920:JFS720924 IVW720920:IVW720924 IMA720920:IMA720924 ICE720920:ICE720924 HSI720920:HSI720924 HIM720920:HIM720924 GYQ720920:GYQ720924 GOU720920:GOU720924 GEY720920:GEY720924 FVC720920:FVC720924 FLG720920:FLG720924 FBK720920:FBK720924 ERO720920:ERO720924 EHS720920:EHS720924 DXW720920:DXW720924 DOA720920:DOA720924 DEE720920:DEE720924 CUI720920:CUI720924 CKM720920:CKM720924 CAQ720920:CAQ720924 BQU720920:BQU720924 BGY720920:BGY720924 AXC720920:AXC720924 ANG720920:ANG720924 ADK720920:ADK720924 TO720920:TO720924 JS720920:JS720924 X720920:X720924 WWE655384:WWE655388 WMI655384:WMI655388 WCM655384:WCM655388 VSQ655384:VSQ655388 VIU655384:VIU655388 UYY655384:UYY655388 UPC655384:UPC655388 UFG655384:UFG655388 TVK655384:TVK655388 TLO655384:TLO655388 TBS655384:TBS655388 SRW655384:SRW655388 SIA655384:SIA655388 RYE655384:RYE655388 ROI655384:ROI655388 REM655384:REM655388 QUQ655384:QUQ655388 QKU655384:QKU655388 QAY655384:QAY655388 PRC655384:PRC655388 PHG655384:PHG655388 OXK655384:OXK655388 ONO655384:ONO655388 ODS655384:ODS655388 NTW655384:NTW655388 NKA655384:NKA655388 NAE655384:NAE655388 MQI655384:MQI655388 MGM655384:MGM655388 LWQ655384:LWQ655388 LMU655384:LMU655388 LCY655384:LCY655388 KTC655384:KTC655388 KJG655384:KJG655388 JZK655384:JZK655388 JPO655384:JPO655388 JFS655384:JFS655388 IVW655384:IVW655388 IMA655384:IMA655388 ICE655384:ICE655388 HSI655384:HSI655388 HIM655384:HIM655388 GYQ655384:GYQ655388 GOU655384:GOU655388 GEY655384:GEY655388 FVC655384:FVC655388 FLG655384:FLG655388 FBK655384:FBK655388 ERO655384:ERO655388 EHS655384:EHS655388 DXW655384:DXW655388 DOA655384:DOA655388 DEE655384:DEE655388 CUI655384:CUI655388 CKM655384:CKM655388 CAQ655384:CAQ655388 BQU655384:BQU655388 BGY655384:BGY655388 AXC655384:AXC655388 ANG655384:ANG655388 ADK655384:ADK655388 TO655384:TO655388 JS655384:JS655388 X655384:X655388 WWE589848:WWE589852 WMI589848:WMI589852 WCM589848:WCM589852 VSQ589848:VSQ589852 VIU589848:VIU589852 UYY589848:UYY589852 UPC589848:UPC589852 UFG589848:UFG589852 TVK589848:TVK589852 TLO589848:TLO589852 TBS589848:TBS589852 SRW589848:SRW589852 SIA589848:SIA589852 RYE589848:RYE589852 ROI589848:ROI589852 REM589848:REM589852 QUQ589848:QUQ589852 QKU589848:QKU589852 QAY589848:QAY589852 PRC589848:PRC589852 PHG589848:PHG589852 OXK589848:OXK589852 ONO589848:ONO589852 ODS589848:ODS589852 NTW589848:NTW589852 NKA589848:NKA589852 NAE589848:NAE589852 MQI589848:MQI589852 MGM589848:MGM589852 LWQ589848:LWQ589852 LMU589848:LMU589852 LCY589848:LCY589852 KTC589848:KTC589852 KJG589848:KJG589852 JZK589848:JZK589852 JPO589848:JPO589852 JFS589848:JFS589852 IVW589848:IVW589852 IMA589848:IMA589852 ICE589848:ICE589852 HSI589848:HSI589852 HIM589848:HIM589852 GYQ589848:GYQ589852 GOU589848:GOU589852 GEY589848:GEY589852 FVC589848:FVC589852 FLG589848:FLG589852 FBK589848:FBK589852 ERO589848:ERO589852 EHS589848:EHS589852 DXW589848:DXW589852 DOA589848:DOA589852 DEE589848:DEE589852 CUI589848:CUI589852 CKM589848:CKM589852 CAQ589848:CAQ589852 BQU589848:BQU589852 BGY589848:BGY589852 AXC589848:AXC589852 ANG589848:ANG589852 ADK589848:ADK589852 TO589848:TO589852 JS589848:JS589852 X589848:X589852 WWE524312:WWE524316 WMI524312:WMI524316 WCM524312:WCM524316 VSQ524312:VSQ524316 VIU524312:VIU524316 UYY524312:UYY524316 UPC524312:UPC524316 UFG524312:UFG524316 TVK524312:TVK524316 TLO524312:TLO524316 TBS524312:TBS524316 SRW524312:SRW524316 SIA524312:SIA524316 RYE524312:RYE524316 ROI524312:ROI524316 REM524312:REM524316 QUQ524312:QUQ524316 QKU524312:QKU524316 QAY524312:QAY524316 PRC524312:PRC524316 PHG524312:PHG524316 OXK524312:OXK524316 ONO524312:ONO524316 ODS524312:ODS524316 NTW524312:NTW524316 NKA524312:NKA524316 NAE524312:NAE524316 MQI524312:MQI524316 MGM524312:MGM524316 LWQ524312:LWQ524316 LMU524312:LMU524316 LCY524312:LCY524316 KTC524312:KTC524316 KJG524312:KJG524316 JZK524312:JZK524316 JPO524312:JPO524316 JFS524312:JFS524316 IVW524312:IVW524316 IMA524312:IMA524316 ICE524312:ICE524316 HSI524312:HSI524316 HIM524312:HIM524316 GYQ524312:GYQ524316 GOU524312:GOU524316 GEY524312:GEY524316 FVC524312:FVC524316 FLG524312:FLG524316 FBK524312:FBK524316 ERO524312:ERO524316 EHS524312:EHS524316 DXW524312:DXW524316 DOA524312:DOA524316 DEE524312:DEE524316 CUI524312:CUI524316 CKM524312:CKM524316 CAQ524312:CAQ524316 BQU524312:BQU524316 BGY524312:BGY524316 AXC524312:AXC524316 ANG524312:ANG524316 ADK524312:ADK524316 TO524312:TO524316 JS524312:JS524316 X524312:X524316 WWE458776:WWE458780 WMI458776:WMI458780 WCM458776:WCM458780 VSQ458776:VSQ458780 VIU458776:VIU458780 UYY458776:UYY458780 UPC458776:UPC458780 UFG458776:UFG458780 TVK458776:TVK458780 TLO458776:TLO458780 TBS458776:TBS458780 SRW458776:SRW458780 SIA458776:SIA458780 RYE458776:RYE458780 ROI458776:ROI458780 REM458776:REM458780 QUQ458776:QUQ458780 QKU458776:QKU458780 QAY458776:QAY458780 PRC458776:PRC458780 PHG458776:PHG458780 OXK458776:OXK458780 ONO458776:ONO458780 ODS458776:ODS458780 NTW458776:NTW458780 NKA458776:NKA458780 NAE458776:NAE458780 MQI458776:MQI458780 MGM458776:MGM458780 LWQ458776:LWQ458780 LMU458776:LMU458780 LCY458776:LCY458780 KTC458776:KTC458780 KJG458776:KJG458780 JZK458776:JZK458780 JPO458776:JPO458780 JFS458776:JFS458780 IVW458776:IVW458780 IMA458776:IMA458780 ICE458776:ICE458780 HSI458776:HSI458780 HIM458776:HIM458780 GYQ458776:GYQ458780 GOU458776:GOU458780 GEY458776:GEY458780 FVC458776:FVC458780 FLG458776:FLG458780 FBK458776:FBK458780 ERO458776:ERO458780 EHS458776:EHS458780 DXW458776:DXW458780 DOA458776:DOA458780 DEE458776:DEE458780 CUI458776:CUI458780 CKM458776:CKM458780 CAQ458776:CAQ458780 BQU458776:BQU458780 BGY458776:BGY458780 AXC458776:AXC458780 ANG458776:ANG458780 ADK458776:ADK458780 TO458776:TO458780 JS458776:JS458780 X458776:X458780 WWE393240:WWE393244 WMI393240:WMI393244 WCM393240:WCM393244 VSQ393240:VSQ393244 VIU393240:VIU393244 UYY393240:UYY393244 UPC393240:UPC393244 UFG393240:UFG393244 TVK393240:TVK393244 TLO393240:TLO393244 TBS393240:TBS393244 SRW393240:SRW393244 SIA393240:SIA393244 RYE393240:RYE393244 ROI393240:ROI393244 REM393240:REM393244 QUQ393240:QUQ393244 QKU393240:QKU393244 QAY393240:QAY393244 PRC393240:PRC393244 PHG393240:PHG393244 OXK393240:OXK393244 ONO393240:ONO393244 ODS393240:ODS393244 NTW393240:NTW393244 NKA393240:NKA393244 NAE393240:NAE393244 MQI393240:MQI393244 MGM393240:MGM393244 LWQ393240:LWQ393244 LMU393240:LMU393244 LCY393240:LCY393244 KTC393240:KTC393244 KJG393240:KJG393244 JZK393240:JZK393244 JPO393240:JPO393244 JFS393240:JFS393244 IVW393240:IVW393244 IMA393240:IMA393244 ICE393240:ICE393244 HSI393240:HSI393244 HIM393240:HIM393244 GYQ393240:GYQ393244 GOU393240:GOU393244 GEY393240:GEY393244 FVC393240:FVC393244 FLG393240:FLG393244 FBK393240:FBK393244 ERO393240:ERO393244 EHS393240:EHS393244 DXW393240:DXW393244 DOA393240:DOA393244 DEE393240:DEE393244 CUI393240:CUI393244 CKM393240:CKM393244 CAQ393240:CAQ393244 BQU393240:BQU393244 BGY393240:BGY393244 AXC393240:AXC393244 ANG393240:ANG393244 ADK393240:ADK393244 TO393240:TO393244 JS393240:JS393244 X393240:X393244 WWE327704:WWE327708 WMI327704:WMI327708 WCM327704:WCM327708 VSQ327704:VSQ327708 VIU327704:VIU327708 UYY327704:UYY327708 UPC327704:UPC327708 UFG327704:UFG327708 TVK327704:TVK327708 TLO327704:TLO327708 TBS327704:TBS327708 SRW327704:SRW327708 SIA327704:SIA327708 RYE327704:RYE327708 ROI327704:ROI327708 REM327704:REM327708 QUQ327704:QUQ327708 QKU327704:QKU327708 QAY327704:QAY327708 PRC327704:PRC327708 PHG327704:PHG327708 OXK327704:OXK327708 ONO327704:ONO327708 ODS327704:ODS327708 NTW327704:NTW327708 NKA327704:NKA327708 NAE327704:NAE327708 MQI327704:MQI327708 MGM327704:MGM327708 LWQ327704:LWQ327708 LMU327704:LMU327708 LCY327704:LCY327708 KTC327704:KTC327708 KJG327704:KJG327708 JZK327704:JZK327708 JPO327704:JPO327708 JFS327704:JFS327708 IVW327704:IVW327708 IMA327704:IMA327708 ICE327704:ICE327708 HSI327704:HSI327708 HIM327704:HIM327708 GYQ327704:GYQ327708 GOU327704:GOU327708 GEY327704:GEY327708 FVC327704:FVC327708 FLG327704:FLG327708 FBK327704:FBK327708 ERO327704:ERO327708 EHS327704:EHS327708 DXW327704:DXW327708 DOA327704:DOA327708 DEE327704:DEE327708 CUI327704:CUI327708 CKM327704:CKM327708 CAQ327704:CAQ327708 BQU327704:BQU327708 BGY327704:BGY327708 AXC327704:AXC327708 ANG327704:ANG327708 ADK327704:ADK327708 TO327704:TO327708 JS327704:JS327708 X327704:X327708 WWE262168:WWE262172 WMI262168:WMI262172 WCM262168:WCM262172 VSQ262168:VSQ262172 VIU262168:VIU262172 UYY262168:UYY262172 UPC262168:UPC262172 UFG262168:UFG262172 TVK262168:TVK262172 TLO262168:TLO262172 TBS262168:TBS262172 SRW262168:SRW262172 SIA262168:SIA262172 RYE262168:RYE262172 ROI262168:ROI262172 REM262168:REM262172 QUQ262168:QUQ262172 QKU262168:QKU262172 QAY262168:QAY262172 PRC262168:PRC262172 PHG262168:PHG262172 OXK262168:OXK262172 ONO262168:ONO262172 ODS262168:ODS262172 NTW262168:NTW262172 NKA262168:NKA262172 NAE262168:NAE262172 MQI262168:MQI262172 MGM262168:MGM262172 LWQ262168:LWQ262172 LMU262168:LMU262172 LCY262168:LCY262172 KTC262168:KTC262172 KJG262168:KJG262172 JZK262168:JZK262172 JPO262168:JPO262172 JFS262168:JFS262172 IVW262168:IVW262172 IMA262168:IMA262172 ICE262168:ICE262172 HSI262168:HSI262172 HIM262168:HIM262172 GYQ262168:GYQ262172 GOU262168:GOU262172 GEY262168:GEY262172 FVC262168:FVC262172 FLG262168:FLG262172 FBK262168:FBK262172 ERO262168:ERO262172 EHS262168:EHS262172 DXW262168:DXW262172 DOA262168:DOA262172 DEE262168:DEE262172 CUI262168:CUI262172 CKM262168:CKM262172 CAQ262168:CAQ262172 BQU262168:BQU262172 BGY262168:BGY262172 AXC262168:AXC262172 ANG262168:ANG262172 ADK262168:ADK262172 TO262168:TO262172 JS262168:JS262172 X262168:X262172 WWE196632:WWE196636 WMI196632:WMI196636 WCM196632:WCM196636 VSQ196632:VSQ196636 VIU196632:VIU196636 UYY196632:UYY196636 UPC196632:UPC196636 UFG196632:UFG196636 TVK196632:TVK196636 TLO196632:TLO196636 TBS196632:TBS196636 SRW196632:SRW196636 SIA196632:SIA196636 RYE196632:RYE196636 ROI196632:ROI196636 REM196632:REM196636 QUQ196632:QUQ196636 QKU196632:QKU196636 QAY196632:QAY196636 PRC196632:PRC196636 PHG196632:PHG196636 OXK196632:OXK196636 ONO196632:ONO196636 ODS196632:ODS196636 NTW196632:NTW196636 NKA196632:NKA196636 NAE196632:NAE196636 MQI196632:MQI196636 MGM196632:MGM196636 LWQ196632:LWQ196636 LMU196632:LMU196636 LCY196632:LCY196636 KTC196632:KTC196636 KJG196632:KJG196636 JZK196632:JZK196636 JPO196632:JPO196636 JFS196632:JFS196636 IVW196632:IVW196636 IMA196632:IMA196636 ICE196632:ICE196636 HSI196632:HSI196636 HIM196632:HIM196636 GYQ196632:GYQ196636 GOU196632:GOU196636 GEY196632:GEY196636 FVC196632:FVC196636 FLG196632:FLG196636 FBK196632:FBK196636 ERO196632:ERO196636 EHS196632:EHS196636 DXW196632:DXW196636 DOA196632:DOA196636 DEE196632:DEE196636 CUI196632:CUI196636 CKM196632:CKM196636 CAQ196632:CAQ196636 BQU196632:BQU196636 BGY196632:BGY196636 AXC196632:AXC196636 ANG196632:ANG196636 ADK196632:ADK196636 TO196632:TO196636 JS196632:JS196636 X196632:X196636 WWE131096:WWE131100 WMI131096:WMI131100 WCM131096:WCM131100 VSQ131096:VSQ131100 VIU131096:VIU131100 UYY131096:UYY131100 UPC131096:UPC131100 UFG131096:UFG131100 TVK131096:TVK131100 TLO131096:TLO131100 TBS131096:TBS131100 SRW131096:SRW131100 SIA131096:SIA131100 RYE131096:RYE131100 ROI131096:ROI131100 REM131096:REM131100 QUQ131096:QUQ131100 QKU131096:QKU131100 QAY131096:QAY131100 PRC131096:PRC131100 PHG131096:PHG131100 OXK131096:OXK131100 ONO131096:ONO131100 ODS131096:ODS131100 NTW131096:NTW131100 NKA131096:NKA131100 NAE131096:NAE131100 MQI131096:MQI131100 MGM131096:MGM131100 LWQ131096:LWQ131100 LMU131096:LMU131100 LCY131096:LCY131100 KTC131096:KTC131100 KJG131096:KJG131100 JZK131096:JZK131100 JPO131096:JPO131100 JFS131096:JFS131100 IVW131096:IVW131100 IMA131096:IMA131100 ICE131096:ICE131100 HSI131096:HSI131100 HIM131096:HIM131100 GYQ131096:GYQ131100 GOU131096:GOU131100 GEY131096:GEY131100 FVC131096:FVC131100 FLG131096:FLG131100 FBK131096:FBK131100 ERO131096:ERO131100 EHS131096:EHS131100 DXW131096:DXW131100 DOA131096:DOA131100 DEE131096:DEE131100 CUI131096:CUI131100 CKM131096:CKM131100 CAQ131096:CAQ131100 BQU131096:BQU131100 BGY131096:BGY131100 AXC131096:AXC131100 ANG131096:ANG131100 ADK131096:ADK131100 TO131096:TO131100 JS131096:JS131100 X131096:X131100 WWE65560:WWE65564 WMI65560:WMI65564 WCM65560:WCM65564 VSQ65560:VSQ65564 VIU65560:VIU65564 UYY65560:UYY65564 UPC65560:UPC65564 UFG65560:UFG65564 TVK65560:TVK65564 TLO65560:TLO65564 TBS65560:TBS65564 SRW65560:SRW65564 SIA65560:SIA65564 RYE65560:RYE65564 ROI65560:ROI65564 REM65560:REM65564 QUQ65560:QUQ65564 QKU65560:QKU65564 QAY65560:QAY65564 PRC65560:PRC65564 PHG65560:PHG65564 OXK65560:OXK65564 ONO65560:ONO65564 ODS65560:ODS65564 NTW65560:NTW65564 NKA65560:NKA65564 NAE65560:NAE65564 MQI65560:MQI65564 MGM65560:MGM65564 LWQ65560:LWQ65564 LMU65560:LMU65564 LCY65560:LCY65564 KTC65560:KTC65564 KJG65560:KJG65564 JZK65560:JZK65564 JPO65560:JPO65564 JFS65560:JFS65564 IVW65560:IVW65564 IMA65560:IMA65564 ICE65560:ICE65564 HSI65560:HSI65564 HIM65560:HIM65564 GYQ65560:GYQ65564 GOU65560:GOU65564 GEY65560:GEY65564 FVC65560:FVC65564 FLG65560:FLG65564 FBK65560:FBK65564 ERO65560:ERO65564 EHS65560:EHS65564 DXW65560:DXW65564 DOA65560:DOA65564 DEE65560:DEE65564 CUI65560:CUI65564 CKM65560:CKM65564 CAQ65560:CAQ65564 BQU65560:BQU65564 BGY65560:BGY65564 AXC65560:AXC65564 ANG65560:ANG65564 ADK65560:ADK65564 TO65560:TO65564 JS65560:JS65564 X65560:X65564 WWE983064:WWE983068 X27 X23 X25 ANG13:ANG28 AXC13:AXC28 BGY13:BGY28 BQU13:BQU28 CAQ13:CAQ28 CKM13:CKM28 CUI13:CUI28 DEE13:DEE28 DOA13:DOA28 DXW13:DXW28 EHS13:EHS28 ERO13:ERO28 FBK13:FBK28 FLG13:FLG28 FVC13:FVC28 GEY13:GEY28 GOU13:GOU28 GYQ13:GYQ28 HIM13:HIM28 HSI13:HSI28 ICE13:ICE28 IMA13:IMA28 IVW13:IVW28 JFS13:JFS28 JPO13:JPO28 JZK13:JZK28 KJG13:KJG28 KTC13:KTC28 LCY13:LCY28 LMU13:LMU28 LWQ13:LWQ28 MGM13:MGM28 MQI13:MQI28 NAE13:NAE28 NKA13:NKA28 NTW13:NTW28 ODS13:ODS28 ONO13:ONO28 OXK13:OXK28 PHG13:PHG28 PRC13:PRC28 QAY13:QAY28 QKU13:QKU28 QUQ13:QUQ28 REM13:REM28 ROI13:ROI28 RYE13:RYE28 SIA13:SIA28 SRW13:SRW28 TBS13:TBS28 TLO13:TLO28 TVK13:TVK28 UFG13:UFG28 UPC13:UPC28 UYY13:UYY28 VIU13:VIU28 VSQ13:VSQ28 WCM13:WCM28 WMI13:WMI28 WWE13:WWE28 JS13:JS28 TO13:TO28 ADK13:ADK28" xr:uid="{00000000-0002-0000-0200-000001000000}">
      <formula1>#REF!</formula1>
    </dataValidation>
    <dataValidation type="list" allowBlank="1" showInputMessage="1" showErrorMessage="1" sqref="X13:X22" xr:uid="{8C5E3C60-7C1E-4D7E-9F01-105FF72BFD89}">
      <formula1>"Pendiente, En Proceso, Realizado"</formula1>
    </dataValidation>
    <dataValidation type="list" allowBlank="1" showInputMessage="1" showErrorMessage="1" sqref="F13:N22 O13:O28 P13:Q22" xr:uid="{909DF425-2B3E-40FF-8378-83DC63E6FA43}">
      <formula1>"P, E, R, N"</formula1>
    </dataValidation>
  </dataValidations>
  <printOptions horizontalCentered="1" verticalCentered="1"/>
  <pageMargins left="0.59055118110236227" right="0.59055118110236227" top="0.55118110236220474" bottom="0.59055118110236227" header="0.19685039370078741" footer="0.19685039370078741"/>
  <pageSetup paperSize="9" scale="43" orientation="landscape" r:id="rId1"/>
  <headerFooter scaleWithDoc="0"/>
  <colBreaks count="1" manualBreakCount="1">
    <brk id="2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BDA-6034-494F-AB4A-3798DFF5EC2F}">
  <sheetPr>
    <tabColor rgb="FF92D050"/>
  </sheetPr>
  <dimension ref="A1:O10"/>
  <sheetViews>
    <sheetView showGridLines="0" topLeftCell="E1" workbookViewId="0">
      <selection activeCell="G14" sqref="G14"/>
    </sheetView>
  </sheetViews>
  <sheetFormatPr baseColWidth="10" defaultColWidth="11.453125" defaultRowHeight="12.5"/>
  <cols>
    <col min="1" max="1" width="5.453125" bestFit="1" customWidth="1"/>
    <col min="2" max="2" width="16.81640625"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5.7265625" bestFit="1" customWidth="1"/>
    <col min="11" max="11" width="11.26953125" bestFit="1" customWidth="1"/>
    <col min="12" max="12" width="10.26953125" bestFit="1" customWidth="1"/>
    <col min="13" max="13" width="5.7265625" bestFit="1" customWidth="1"/>
    <col min="14" max="14" width="11.26953125" bestFit="1" customWidth="1"/>
  </cols>
  <sheetData>
    <row r="1" spans="1:15" ht="12.65" customHeight="1">
      <c r="A1" s="358" t="s">
        <v>143</v>
      </c>
      <c r="B1" s="358" t="s">
        <v>144</v>
      </c>
      <c r="C1" s="363" t="s">
        <v>145</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60"/>
      <c r="B3" s="360"/>
      <c r="C3" s="128" t="s">
        <v>151</v>
      </c>
      <c r="D3" s="128" t="s">
        <v>152</v>
      </c>
      <c r="E3" s="137" t="s">
        <v>153</v>
      </c>
      <c r="F3" s="128" t="s">
        <v>151</v>
      </c>
      <c r="G3" s="128" t="s">
        <v>152</v>
      </c>
      <c r="H3" s="137" t="s">
        <v>153</v>
      </c>
      <c r="I3" s="128" t="s">
        <v>151</v>
      </c>
      <c r="J3" s="128" t="s">
        <v>152</v>
      </c>
      <c r="K3" s="137" t="s">
        <v>153</v>
      </c>
      <c r="L3" s="128" t="s">
        <v>151</v>
      </c>
      <c r="M3" s="128" t="s">
        <v>152</v>
      </c>
      <c r="N3" s="138" t="s">
        <v>153</v>
      </c>
      <c r="O3" s="354"/>
    </row>
    <row r="4" spans="1:15" ht="15.5">
      <c r="A4" s="54">
        <v>1</v>
      </c>
      <c r="B4" s="146" t="s">
        <v>154</v>
      </c>
      <c r="C4" s="134"/>
      <c r="D4" s="132"/>
      <c r="E4" s="136"/>
      <c r="F4" s="132"/>
      <c r="G4" s="132"/>
      <c r="H4" s="136"/>
      <c r="I4" s="54">
        <v>28.31</v>
      </c>
      <c r="J4" s="54">
        <v>23.89</v>
      </c>
      <c r="K4" s="136">
        <f t="shared" ref="K4:K6" si="0">I4/J4</f>
        <v>1.1850146504813728</v>
      </c>
      <c r="L4" s="55">
        <v>66.62</v>
      </c>
      <c r="M4" s="55">
        <v>64.599999999999994</v>
      </c>
      <c r="N4" s="139">
        <f t="shared" ref="N4:N6" si="1">L4/M4</f>
        <v>1.0312693498452015</v>
      </c>
      <c r="O4" s="133">
        <f>(K4+N4)/2</f>
        <v>1.1081420001632871</v>
      </c>
    </row>
    <row r="5" spans="1:15" ht="15.5">
      <c r="A5" s="54">
        <v>2</v>
      </c>
      <c r="B5" s="146" t="s">
        <v>155</v>
      </c>
      <c r="C5" s="134"/>
      <c r="D5" s="132"/>
      <c r="E5" s="136"/>
      <c r="F5" s="132"/>
      <c r="G5" s="132"/>
      <c r="H5" s="136"/>
      <c r="I5" s="54">
        <v>11.26</v>
      </c>
      <c r="J5" s="54">
        <v>8.08</v>
      </c>
      <c r="K5" s="136">
        <f t="shared" si="0"/>
        <v>1.3935643564356435</v>
      </c>
      <c r="L5" s="55">
        <v>44.78</v>
      </c>
      <c r="M5" s="55">
        <v>48.49</v>
      </c>
      <c r="N5" s="139">
        <f t="shared" si="1"/>
        <v>0.92348937925345431</v>
      </c>
      <c r="O5" s="133">
        <f>(K5+N5)/2</f>
        <v>1.1585268678445488</v>
      </c>
    </row>
    <row r="6" spans="1:15" ht="15.5">
      <c r="A6" s="54">
        <v>3</v>
      </c>
      <c r="B6" s="146" t="s">
        <v>156</v>
      </c>
      <c r="C6" s="134"/>
      <c r="D6" s="132"/>
      <c r="E6" s="136"/>
      <c r="F6" s="132"/>
      <c r="G6" s="132"/>
      <c r="H6" s="136"/>
      <c r="I6" s="54">
        <v>38</v>
      </c>
      <c r="J6" s="54">
        <v>23.63</v>
      </c>
      <c r="K6" s="136">
        <f t="shared" si="0"/>
        <v>1.6081252644942869</v>
      </c>
      <c r="L6" s="55">
        <v>59.86</v>
      </c>
      <c r="M6">
        <v>68.13</v>
      </c>
      <c r="N6" s="139">
        <f t="shared" si="1"/>
        <v>0.87861441362101866</v>
      </c>
      <c r="O6" s="133">
        <f>(K6+N6)/2</f>
        <v>1.2433698390576529</v>
      </c>
    </row>
    <row r="7" spans="1:15" ht="16" thickBot="1">
      <c r="A7" s="362" t="s">
        <v>157</v>
      </c>
      <c r="B7" s="362"/>
      <c r="C7" s="362"/>
      <c r="D7" s="52"/>
      <c r="E7" s="52"/>
      <c r="F7" s="52"/>
      <c r="G7" s="52"/>
      <c r="H7" s="52"/>
      <c r="I7" s="52"/>
      <c r="J7" s="52"/>
      <c r="K7" s="52"/>
      <c r="L7" s="52"/>
      <c r="M7" s="52"/>
      <c r="N7" s="52"/>
      <c r="O7" s="131"/>
    </row>
    <row r="8" spans="1:15" ht="16" thickBot="1">
      <c r="A8" s="365" t="s">
        <v>158</v>
      </c>
      <c r="B8" s="366"/>
      <c r="C8" s="366"/>
      <c r="D8" s="366"/>
      <c r="E8" s="366"/>
      <c r="F8" s="366"/>
      <c r="G8" s="366"/>
      <c r="H8" s="366"/>
      <c r="I8" s="58"/>
      <c r="J8" s="58"/>
      <c r="K8" s="58"/>
      <c r="L8" s="130">
        <f>AVERAGE(O4:O6)</f>
        <v>1.1700129023551629</v>
      </c>
      <c r="M8" s="129"/>
      <c r="N8" s="53"/>
    </row>
    <row r="10" spans="1:15">
      <c r="G10" s="27"/>
      <c r="H10" s="27"/>
    </row>
  </sheetData>
  <mergeCells count="10">
    <mergeCell ref="A1:A3"/>
    <mergeCell ref="B1:B3"/>
    <mergeCell ref="A7:C7"/>
    <mergeCell ref="C1:N1"/>
    <mergeCell ref="A8:H8"/>
    <mergeCell ref="O1:O3"/>
    <mergeCell ref="C2:E2"/>
    <mergeCell ref="F2:H2"/>
    <mergeCell ref="I2:K2"/>
    <mergeCell ref="L2:N2"/>
  </mergeCells>
  <phoneticPr fontId="2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FE132-57F4-4BE0-9C08-8F1046C5DED3}">
  <sheetPr>
    <tabColor rgb="FF92D050"/>
  </sheetPr>
  <dimension ref="A1:O15"/>
  <sheetViews>
    <sheetView showGridLines="0" topLeftCell="A2" workbookViewId="0">
      <selection activeCell="F19" sqref="F19"/>
    </sheetView>
  </sheetViews>
  <sheetFormatPr baseColWidth="10" defaultColWidth="11.453125" defaultRowHeight="12.5"/>
  <cols>
    <col min="1" max="1" width="5.453125" bestFit="1" customWidth="1"/>
    <col min="2" max="2" width="16.81640625"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5.7265625" bestFit="1" customWidth="1"/>
    <col min="11" max="11" width="11.26953125" bestFit="1" customWidth="1"/>
    <col min="12" max="12" width="10.26953125" bestFit="1" customWidth="1"/>
    <col min="13" max="13" width="5.7265625" bestFit="1" customWidth="1"/>
    <col min="14" max="14" width="11.26953125" bestFit="1" customWidth="1"/>
    <col min="15" max="15" width="11.7265625" bestFit="1" customWidth="1"/>
  </cols>
  <sheetData>
    <row r="1" spans="1:15" ht="12.65" customHeight="1">
      <c r="A1" s="358" t="s">
        <v>143</v>
      </c>
      <c r="B1" s="358" t="s">
        <v>144</v>
      </c>
      <c r="C1" s="363" t="s">
        <v>159</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60"/>
      <c r="B3" s="360"/>
      <c r="C3" s="128" t="s">
        <v>151</v>
      </c>
      <c r="D3" s="128" t="s">
        <v>152</v>
      </c>
      <c r="E3" s="137" t="s">
        <v>153</v>
      </c>
      <c r="F3" s="128" t="s">
        <v>151</v>
      </c>
      <c r="G3" s="128" t="s">
        <v>152</v>
      </c>
      <c r="H3" s="137" t="s">
        <v>153</v>
      </c>
      <c r="I3" s="128" t="s">
        <v>151</v>
      </c>
      <c r="J3" s="128" t="s">
        <v>152</v>
      </c>
      <c r="K3" s="137" t="s">
        <v>153</v>
      </c>
      <c r="L3" s="128" t="s">
        <v>151</v>
      </c>
      <c r="M3" s="128" t="s">
        <v>152</v>
      </c>
      <c r="N3" s="138" t="s">
        <v>153</v>
      </c>
      <c r="O3" s="354"/>
    </row>
    <row r="4" spans="1:15" ht="16" thickBot="1">
      <c r="A4" s="54">
        <v>1</v>
      </c>
      <c r="B4" s="146" t="s">
        <v>160</v>
      </c>
      <c r="C4" s="150"/>
      <c r="D4" s="151"/>
      <c r="E4" s="150"/>
      <c r="F4" s="150">
        <v>0.30370370000000002</v>
      </c>
      <c r="G4" s="150">
        <v>0.30370370000000002</v>
      </c>
      <c r="H4" s="150">
        <v>1</v>
      </c>
      <c r="I4" s="150">
        <v>0.19322033999999999</v>
      </c>
      <c r="J4" s="150">
        <v>0.19491525000000001</v>
      </c>
      <c r="K4" s="150">
        <v>0.95542028999999995</v>
      </c>
      <c r="L4" s="149">
        <v>0.29830508</v>
      </c>
      <c r="M4" s="149">
        <v>0.31355931999999997</v>
      </c>
      <c r="N4" s="149">
        <v>0.91</v>
      </c>
      <c r="O4" s="133">
        <f>(H4+K4+N4)/3</f>
        <v>0.95514009666666666</v>
      </c>
    </row>
    <row r="5" spans="1:15" ht="16" thickBot="1">
      <c r="A5" s="54">
        <v>2</v>
      </c>
      <c r="B5" s="146" t="s">
        <v>161</v>
      </c>
      <c r="C5" s="151">
        <v>0.15862069000000001</v>
      </c>
      <c r="D5" s="150">
        <v>0.15862069000000001</v>
      </c>
      <c r="E5" s="150">
        <v>1</v>
      </c>
      <c r="F5" s="149">
        <v>0.26359832999999999</v>
      </c>
      <c r="G5" s="149">
        <v>0.26359832999999999</v>
      </c>
      <c r="H5" s="149">
        <v>0.99</v>
      </c>
      <c r="I5" s="149">
        <v>0.42677823999999998</v>
      </c>
      <c r="J5" s="149">
        <v>0.45188285</v>
      </c>
      <c r="K5" s="149">
        <v>0.96504630000000002</v>
      </c>
      <c r="L5" s="150">
        <v>0.67196652999999995</v>
      </c>
      <c r="M5" s="150">
        <v>0.68619247000000005</v>
      </c>
      <c r="N5" s="150">
        <v>0.93</v>
      </c>
      <c r="O5" s="133">
        <f>(E5+H5+K5+N5)/4</f>
        <v>0.9712615750000001</v>
      </c>
    </row>
    <row r="6" spans="1:15" ht="16" thickBot="1">
      <c r="A6" s="54">
        <v>3</v>
      </c>
      <c r="B6" s="146" t="s">
        <v>155</v>
      </c>
      <c r="C6" s="152">
        <v>0.16543859999999999</v>
      </c>
      <c r="D6" s="149">
        <v>0.24561404000000001</v>
      </c>
      <c r="E6" s="149">
        <v>0.673571429</v>
      </c>
      <c r="F6" s="149">
        <v>0.71705426000000005</v>
      </c>
      <c r="G6" s="149">
        <v>0.71705426000000005</v>
      </c>
      <c r="H6" s="149">
        <v>1</v>
      </c>
      <c r="I6" s="150">
        <v>0.91164659000000003</v>
      </c>
      <c r="J6" s="150">
        <v>0.88755019999999996</v>
      </c>
      <c r="K6" s="150">
        <v>1.0112570400000001</v>
      </c>
      <c r="L6" s="149">
        <v>1</v>
      </c>
      <c r="M6" s="149">
        <v>0.98795180999999999</v>
      </c>
      <c r="N6" s="149">
        <v>1.01</v>
      </c>
      <c r="O6" s="133">
        <f>(E6+H6+K6+N6)/4</f>
        <v>0.92370711724999999</v>
      </c>
    </row>
    <row r="7" spans="1:15" ht="16" thickBot="1">
      <c r="A7" s="54">
        <v>4</v>
      </c>
      <c r="B7" s="146" t="s">
        <v>162</v>
      </c>
      <c r="C7" s="151">
        <v>0.58194444000000001</v>
      </c>
      <c r="D7" s="150">
        <v>0.58333332999999998</v>
      </c>
      <c r="E7" s="150">
        <v>0.99761904800000001</v>
      </c>
      <c r="F7" s="149">
        <v>0.2992126</v>
      </c>
      <c r="G7" s="149">
        <v>0.2992126</v>
      </c>
      <c r="H7" s="149">
        <v>1</v>
      </c>
      <c r="I7" s="150"/>
      <c r="J7" s="150"/>
      <c r="K7" s="150"/>
      <c r="L7" s="150">
        <v>0.34951455999999997</v>
      </c>
      <c r="M7" s="150">
        <v>0.33980582999999998</v>
      </c>
      <c r="N7" s="150">
        <v>0.92</v>
      </c>
      <c r="O7" s="133">
        <f>(E7+H7+K7+N7)/3</f>
        <v>0.97253968266666668</v>
      </c>
    </row>
    <row r="8" spans="1:15" ht="16" thickBot="1">
      <c r="A8" s="54">
        <v>5</v>
      </c>
      <c r="B8" s="146" t="s">
        <v>163</v>
      </c>
      <c r="C8" s="147"/>
      <c r="D8" s="135"/>
      <c r="E8" s="148"/>
      <c r="F8" s="150">
        <v>0.10569106</v>
      </c>
      <c r="G8" s="150">
        <v>0.10569106</v>
      </c>
      <c r="H8" s="150">
        <v>0.99</v>
      </c>
      <c r="I8" s="149">
        <v>0.19</v>
      </c>
      <c r="J8" s="149">
        <v>0.19512194999999999</v>
      </c>
      <c r="K8" s="149">
        <v>1.3467672399999999</v>
      </c>
      <c r="L8" s="149">
        <v>0.49374004999999999</v>
      </c>
      <c r="M8" s="149">
        <v>0.50132626000000002</v>
      </c>
      <c r="N8" s="149">
        <v>0.91</v>
      </c>
      <c r="O8" s="133">
        <f>(H8+K8+N8)/3</f>
        <v>1.0822557466666667</v>
      </c>
    </row>
    <row r="9" spans="1:15" ht="16" thickBot="1">
      <c r="A9" s="54">
        <v>6</v>
      </c>
      <c r="B9" s="146" t="s">
        <v>164</v>
      </c>
      <c r="C9" s="147"/>
      <c r="D9" s="135"/>
      <c r="E9" s="148"/>
      <c r="F9" s="149">
        <v>0.16964286000000001</v>
      </c>
      <c r="G9" s="149">
        <v>0.16964286000000001</v>
      </c>
      <c r="H9" s="149">
        <v>0.98</v>
      </c>
      <c r="I9" s="149">
        <v>0.15214285999999999</v>
      </c>
      <c r="J9" s="149">
        <v>0.16428571</v>
      </c>
      <c r="K9" s="149">
        <v>1.0188144299999999</v>
      </c>
      <c r="L9" s="150">
        <v>0.29590643</v>
      </c>
      <c r="M9" s="150">
        <v>0.28654971000000001</v>
      </c>
      <c r="N9" s="150">
        <v>0.95</v>
      </c>
      <c r="O9" s="133">
        <f>(H9+K9+N9)/3</f>
        <v>0.98293814333333318</v>
      </c>
    </row>
    <row r="10" spans="1:15" ht="16" thickBot="1">
      <c r="A10" s="54">
        <v>7</v>
      </c>
      <c r="B10" s="146" t="s">
        <v>156</v>
      </c>
      <c r="C10" s="152">
        <v>0.54444444000000003</v>
      </c>
      <c r="D10" s="149">
        <v>0.55555555999999995</v>
      </c>
      <c r="E10" s="149">
        <v>0.98</v>
      </c>
      <c r="F10" s="150">
        <v>0.82107843000000003</v>
      </c>
      <c r="G10" s="150">
        <v>0.83333332999999998</v>
      </c>
      <c r="H10" s="150">
        <v>0.97</v>
      </c>
      <c r="I10" s="149">
        <v>0.82058823999999997</v>
      </c>
      <c r="J10" s="149">
        <v>0.83088234999999999</v>
      </c>
      <c r="K10" s="149">
        <v>0.99048723999999999</v>
      </c>
      <c r="L10" s="149">
        <v>1</v>
      </c>
      <c r="M10" s="149">
        <v>1</v>
      </c>
      <c r="N10" s="149">
        <v>1</v>
      </c>
      <c r="O10" s="133">
        <f t="shared" ref="O10" si="0">(E10+H10+K10+N10)/4</f>
        <v>0.98512180999999999</v>
      </c>
    </row>
    <row r="11" spans="1:15" ht="16" thickBot="1">
      <c r="A11" s="54">
        <v>8</v>
      </c>
      <c r="B11" s="146" t="s">
        <v>165</v>
      </c>
      <c r="C11" s="147"/>
      <c r="D11" s="135"/>
      <c r="E11" s="148"/>
      <c r="F11" s="135"/>
      <c r="G11" s="135"/>
      <c r="H11" s="148"/>
      <c r="I11" s="150">
        <v>0.15968586000000001</v>
      </c>
      <c r="J11" s="150">
        <v>0.16230365999999999</v>
      </c>
      <c r="K11" s="150">
        <v>0.95246914000000005</v>
      </c>
      <c r="L11" s="150">
        <v>0.30366492</v>
      </c>
      <c r="M11" s="150">
        <v>0.30366492</v>
      </c>
      <c r="N11" s="150">
        <v>0.98</v>
      </c>
      <c r="O11" s="133">
        <f>(K11+N11)/2</f>
        <v>0.96623457000000001</v>
      </c>
    </row>
    <row r="12" spans="1:15" ht="16" thickBot="1">
      <c r="A12" s="362" t="s">
        <v>157</v>
      </c>
      <c r="B12" s="362"/>
      <c r="C12" s="362"/>
      <c r="D12" s="52"/>
      <c r="E12" s="52"/>
      <c r="F12" s="52"/>
      <c r="G12" s="52"/>
      <c r="H12" s="52"/>
      <c r="I12" s="52"/>
      <c r="J12" s="52"/>
      <c r="K12" s="52"/>
      <c r="L12" s="52"/>
      <c r="M12" s="52"/>
      <c r="N12" s="52"/>
      <c r="O12" s="131"/>
    </row>
    <row r="13" spans="1:15" ht="16" thickBot="1">
      <c r="A13" s="365" t="s">
        <v>158</v>
      </c>
      <c r="B13" s="366"/>
      <c r="C13" s="366"/>
      <c r="D13" s="366"/>
      <c r="E13" s="366"/>
      <c r="F13" s="366"/>
      <c r="G13" s="366"/>
      <c r="H13" s="366"/>
      <c r="I13" s="58"/>
      <c r="J13" s="58"/>
      <c r="K13" s="58"/>
      <c r="L13" s="130">
        <f>AVERAGE(O4:O11)</f>
        <v>0.97989984269791663</v>
      </c>
      <c r="M13" s="129"/>
      <c r="N13" s="53"/>
    </row>
    <row r="14" spans="1:15" ht="16" thickBot="1">
      <c r="A14" s="365"/>
      <c r="B14" s="366"/>
      <c r="C14" s="366"/>
      <c r="D14" s="366"/>
      <c r="E14" s="366"/>
      <c r="F14" s="366"/>
      <c r="G14" s="366"/>
      <c r="H14" s="366"/>
      <c r="I14" s="58"/>
      <c r="J14" s="58"/>
      <c r="K14" s="58"/>
      <c r="L14" s="130"/>
      <c r="M14" s="129"/>
      <c r="N14" s="53"/>
    </row>
    <row r="15" spans="1:15" ht="16">
      <c r="B15" s="153"/>
    </row>
  </sheetData>
  <mergeCells count="11">
    <mergeCell ref="A1:A3"/>
    <mergeCell ref="B1:B3"/>
    <mergeCell ref="C1:N1"/>
    <mergeCell ref="A14:H14"/>
    <mergeCell ref="A12:C12"/>
    <mergeCell ref="A13:H13"/>
    <mergeCell ref="O1:O3"/>
    <mergeCell ref="C2:E2"/>
    <mergeCell ref="F2:H2"/>
    <mergeCell ref="I2:K2"/>
    <mergeCell ref="L2:N2"/>
  </mergeCells>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EA8F-B8BE-40BE-8100-480CAC68C1FE}">
  <sheetPr>
    <tabColor rgb="FF92D050"/>
  </sheetPr>
  <dimension ref="A1:O15"/>
  <sheetViews>
    <sheetView showGridLines="0" workbookViewId="0">
      <selection sqref="A1:A3"/>
    </sheetView>
  </sheetViews>
  <sheetFormatPr baseColWidth="10" defaultColWidth="11.453125" defaultRowHeight="12.5"/>
  <cols>
    <col min="1" max="1" width="5.453125" bestFit="1" customWidth="1"/>
    <col min="2" max="2" width="16.81640625"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5.7265625" bestFit="1" customWidth="1"/>
    <col min="11" max="11" width="11.26953125" bestFit="1" customWidth="1"/>
    <col min="12" max="12" width="10.26953125" bestFit="1" customWidth="1"/>
    <col min="13" max="13" width="5.7265625" bestFit="1" customWidth="1"/>
    <col min="14" max="14" width="11.26953125" bestFit="1" customWidth="1"/>
    <col min="15" max="15" width="11.7265625" bestFit="1" customWidth="1"/>
  </cols>
  <sheetData>
    <row r="1" spans="1:15" ht="12.65" customHeight="1">
      <c r="A1" s="358" t="s">
        <v>143</v>
      </c>
      <c r="B1" s="358" t="s">
        <v>144</v>
      </c>
      <c r="C1" s="363" t="s">
        <v>166</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60"/>
      <c r="B3" s="360"/>
      <c r="C3" s="128" t="s">
        <v>132</v>
      </c>
      <c r="D3" s="128" t="s">
        <v>151</v>
      </c>
      <c r="E3" s="137" t="s">
        <v>153</v>
      </c>
      <c r="F3" s="128" t="s">
        <v>132</v>
      </c>
      <c r="G3" s="128" t="s">
        <v>151</v>
      </c>
      <c r="H3" s="137" t="s">
        <v>153</v>
      </c>
      <c r="I3" s="128" t="s">
        <v>132</v>
      </c>
      <c r="J3" s="128" t="s">
        <v>151</v>
      </c>
      <c r="K3" s="137" t="s">
        <v>153</v>
      </c>
      <c r="L3" s="128" t="s">
        <v>132</v>
      </c>
      <c r="M3" s="128" t="s">
        <v>151</v>
      </c>
      <c r="N3" s="138" t="s">
        <v>153</v>
      </c>
      <c r="O3" s="354"/>
    </row>
    <row r="4" spans="1:15" ht="15.5">
      <c r="A4" s="54">
        <v>1</v>
      </c>
      <c r="B4" s="146" t="s">
        <v>160</v>
      </c>
      <c r="C4" s="157">
        <v>0.43220339000000002</v>
      </c>
      <c r="D4" s="157">
        <v>0.41101694999999999</v>
      </c>
      <c r="E4" s="157">
        <v>0.97159278000000004</v>
      </c>
      <c r="F4" s="157">
        <v>0.55084745999999996</v>
      </c>
      <c r="G4" s="157">
        <v>0.53898305000000002</v>
      </c>
      <c r="H4" s="157">
        <v>0.97</v>
      </c>
      <c r="I4" s="157">
        <v>0.66</v>
      </c>
      <c r="J4" s="157">
        <v>0.65</v>
      </c>
      <c r="K4" s="157">
        <v>0.98</v>
      </c>
      <c r="L4" s="157">
        <v>0.80508475000000002</v>
      </c>
      <c r="M4" s="157">
        <v>0.80508475000000002</v>
      </c>
      <c r="N4" s="157">
        <v>0.97227834000000002</v>
      </c>
      <c r="O4" s="133">
        <f>(E4+H4+K4+N4)/4</f>
        <v>0.97346778</v>
      </c>
    </row>
    <row r="5" spans="1:15" ht="15.5">
      <c r="A5" s="54">
        <v>2</v>
      </c>
      <c r="B5" s="146" t="s">
        <v>161</v>
      </c>
      <c r="C5" s="157">
        <v>0.85774059000000002</v>
      </c>
      <c r="D5" s="157">
        <v>0.80502092000000003</v>
      </c>
      <c r="E5" s="157">
        <v>0.96918428999999995</v>
      </c>
      <c r="F5" s="157">
        <v>0.97907949999999999</v>
      </c>
      <c r="G5" s="157">
        <v>0.97907949999999999</v>
      </c>
      <c r="H5" s="157">
        <v>1</v>
      </c>
      <c r="I5" s="157"/>
      <c r="J5" s="157"/>
      <c r="K5" s="157"/>
      <c r="L5" s="157"/>
      <c r="M5" s="157"/>
      <c r="N5" s="157"/>
      <c r="O5" s="133">
        <f>(E5+H5+K5+N5)/2</f>
        <v>0.98459214499999992</v>
      </c>
    </row>
    <row r="6" spans="1:15" ht="15.5">
      <c r="A6" s="54">
        <v>3</v>
      </c>
      <c r="B6" s="146" t="s">
        <v>164</v>
      </c>
      <c r="C6" s="157">
        <v>0.51643192000000004</v>
      </c>
      <c r="D6" s="157">
        <v>0.51643192000000004</v>
      </c>
      <c r="E6" s="157">
        <v>0.98223684</v>
      </c>
      <c r="F6" s="157">
        <v>0.37391303999999997</v>
      </c>
      <c r="G6" s="157">
        <v>0.37391303999999997</v>
      </c>
      <c r="H6" s="157">
        <v>1</v>
      </c>
      <c r="I6" s="157">
        <v>0.76</v>
      </c>
      <c r="J6" s="157">
        <v>0.77</v>
      </c>
      <c r="K6" s="157">
        <v>1</v>
      </c>
      <c r="L6" s="157"/>
      <c r="M6" s="157"/>
      <c r="N6" s="157"/>
      <c r="O6" s="133">
        <f>(E6+H6+K6+N6)/3</f>
        <v>0.99407894666666674</v>
      </c>
    </row>
    <row r="7" spans="1:15" ht="15.5">
      <c r="A7" s="54">
        <v>4</v>
      </c>
      <c r="B7" s="146" t="s">
        <v>162</v>
      </c>
      <c r="C7" s="157">
        <v>0.47572816000000001</v>
      </c>
      <c r="D7" s="157">
        <v>0.46601942000000002</v>
      </c>
      <c r="E7" s="157">
        <v>0.95668814999999996</v>
      </c>
      <c r="F7" s="157">
        <v>0.61165049000000005</v>
      </c>
      <c r="G7" s="157">
        <v>0.59466019000000003</v>
      </c>
      <c r="H7" s="157">
        <v>0.96</v>
      </c>
      <c r="I7" s="157">
        <v>0.73</v>
      </c>
      <c r="J7" s="157">
        <v>0.73</v>
      </c>
      <c r="K7" s="157">
        <v>0.99</v>
      </c>
      <c r="L7" s="157">
        <v>0.91743118999999995</v>
      </c>
      <c r="M7" s="157">
        <v>0.91743118999999995</v>
      </c>
      <c r="N7" s="157">
        <v>0.99522405999999997</v>
      </c>
      <c r="O7" s="133">
        <f t="shared" ref="O7:O10" si="0">(E7+H7+K7+N7)/4</f>
        <v>0.97547805249999997</v>
      </c>
    </row>
    <row r="8" spans="1:15" ht="15.5">
      <c r="A8" s="54">
        <v>5</v>
      </c>
      <c r="B8" s="146" t="s">
        <v>163</v>
      </c>
      <c r="C8" s="157">
        <v>4.379562E-2</v>
      </c>
      <c r="D8" s="157">
        <v>4.7445260000000003E-2</v>
      </c>
      <c r="E8" s="157">
        <v>1.0206451599999999</v>
      </c>
      <c r="F8" s="157">
        <v>0.74701194999999998</v>
      </c>
      <c r="G8" s="157">
        <v>0.75258963999999995</v>
      </c>
      <c r="H8" s="157">
        <v>1</v>
      </c>
      <c r="I8" s="157">
        <v>0.91</v>
      </c>
      <c r="J8" s="157">
        <v>0.87</v>
      </c>
      <c r="K8" s="157">
        <v>0.97</v>
      </c>
      <c r="L8" s="157"/>
      <c r="M8" s="157"/>
      <c r="N8" s="157"/>
      <c r="O8" s="133">
        <f>(E8+H8+K8+N8)/3</f>
        <v>0.99688171999999986</v>
      </c>
    </row>
    <row r="9" spans="1:15" ht="15.5">
      <c r="A9" s="54">
        <v>7</v>
      </c>
      <c r="B9" s="146" t="s">
        <v>165</v>
      </c>
      <c r="C9" s="157">
        <v>0.40449437999999999</v>
      </c>
      <c r="D9" s="157">
        <v>0.41516853999999997</v>
      </c>
      <c r="E9" s="157">
        <v>1.00863309</v>
      </c>
      <c r="F9" s="157">
        <v>0.59701493000000005</v>
      </c>
      <c r="G9" s="157">
        <v>0.58308457999999996</v>
      </c>
      <c r="H9" s="157">
        <v>0.95</v>
      </c>
      <c r="I9" s="157">
        <v>0.73</v>
      </c>
      <c r="J9" s="157">
        <v>0.73</v>
      </c>
      <c r="K9" s="157">
        <v>1</v>
      </c>
      <c r="L9" s="157">
        <v>0.98009950000000001</v>
      </c>
      <c r="M9" s="157">
        <v>0.97094526999999997</v>
      </c>
      <c r="N9" s="157">
        <v>0.99704179999999998</v>
      </c>
      <c r="O9" s="133">
        <f t="shared" si="0"/>
        <v>0.98891872250000001</v>
      </c>
    </row>
    <row r="10" spans="1:15" ht="15.5">
      <c r="A10" s="54">
        <v>8</v>
      </c>
      <c r="B10" s="146" t="s">
        <v>167</v>
      </c>
      <c r="C10" s="157">
        <v>4.379562E-2</v>
      </c>
      <c r="D10" s="157">
        <v>4.7445260000000003E-2</v>
      </c>
      <c r="E10" s="157">
        <v>1.0206451599999999</v>
      </c>
      <c r="F10" s="157">
        <v>0.24107143</v>
      </c>
      <c r="G10" s="157">
        <v>0.22857142999999999</v>
      </c>
      <c r="H10" s="157">
        <v>0.97</v>
      </c>
      <c r="I10" s="157">
        <v>0.41</v>
      </c>
      <c r="J10" s="157">
        <v>0.37</v>
      </c>
      <c r="K10" s="157">
        <v>0.87</v>
      </c>
      <c r="L10" s="157">
        <v>0.56198347000000004</v>
      </c>
      <c r="M10" s="157">
        <v>0.56198347000000004</v>
      </c>
      <c r="N10" s="157">
        <v>0.97952521999999997</v>
      </c>
      <c r="O10" s="133">
        <f t="shared" si="0"/>
        <v>0.960042595</v>
      </c>
    </row>
    <row r="11" spans="1:15" ht="15.5">
      <c r="A11" s="54">
        <v>9</v>
      </c>
      <c r="B11" s="146" t="s">
        <v>168</v>
      </c>
      <c r="C11" s="154"/>
      <c r="D11" s="155"/>
      <c r="E11" s="155"/>
      <c r="F11" s="155"/>
      <c r="G11" s="155"/>
      <c r="H11" s="155"/>
      <c r="I11" s="156"/>
      <c r="J11" s="156"/>
      <c r="K11" s="156"/>
      <c r="L11" s="156">
        <v>0.16826922999999999</v>
      </c>
      <c r="M11" s="156">
        <v>0.16826922999999999</v>
      </c>
      <c r="N11" s="156">
        <v>1</v>
      </c>
      <c r="O11" s="133">
        <f>(E11+H11+K11+N11)/1</f>
        <v>1</v>
      </c>
    </row>
    <row r="12" spans="1:15" ht="16" thickBot="1">
      <c r="A12" s="362" t="s">
        <v>157</v>
      </c>
      <c r="B12" s="362"/>
      <c r="C12" s="362"/>
      <c r="D12" s="52"/>
      <c r="E12" s="52"/>
      <c r="F12" s="52"/>
      <c r="G12" s="52"/>
      <c r="H12" s="52"/>
      <c r="I12" s="52"/>
      <c r="J12" s="52"/>
      <c r="K12" s="52"/>
      <c r="L12" s="52"/>
      <c r="M12" s="52"/>
      <c r="N12" s="52"/>
      <c r="O12" s="131"/>
    </row>
    <row r="13" spans="1:15" ht="16" thickBot="1">
      <c r="A13" s="365" t="s">
        <v>158</v>
      </c>
      <c r="B13" s="366"/>
      <c r="C13" s="366"/>
      <c r="D13" s="366"/>
      <c r="E13" s="366"/>
      <c r="F13" s="366"/>
      <c r="G13" s="366"/>
      <c r="H13" s="366"/>
      <c r="I13" s="58"/>
      <c r="J13" s="58"/>
      <c r="K13" s="58"/>
      <c r="L13" s="130">
        <f>AVERAGE(O4:O11)</f>
        <v>0.98418249520833334</v>
      </c>
      <c r="M13" s="129"/>
      <c r="N13" s="53"/>
    </row>
    <row r="14" spans="1:15" ht="16" thickBot="1">
      <c r="A14" s="365"/>
      <c r="B14" s="366"/>
      <c r="C14" s="366"/>
      <c r="D14" s="366"/>
      <c r="E14" s="366"/>
      <c r="F14" s="366"/>
      <c r="G14" s="366"/>
      <c r="H14" s="366"/>
      <c r="I14" s="58"/>
      <c r="J14" s="58"/>
      <c r="K14" s="58"/>
      <c r="L14" s="130"/>
      <c r="M14" s="129"/>
      <c r="N14" s="53"/>
    </row>
    <row r="15" spans="1:15" ht="16">
      <c r="B15" s="153"/>
    </row>
  </sheetData>
  <mergeCells count="11">
    <mergeCell ref="A12:C12"/>
    <mergeCell ref="A13:H13"/>
    <mergeCell ref="A14:H14"/>
    <mergeCell ref="O1:O3"/>
    <mergeCell ref="A1:A3"/>
    <mergeCell ref="B1:B3"/>
    <mergeCell ref="C1:N1"/>
    <mergeCell ref="F2:H2"/>
    <mergeCell ref="I2:K2"/>
    <mergeCell ref="L2:N2"/>
    <mergeCell ref="C2:E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706D-B6B9-4F63-AB86-FE4771BAC2DC}">
  <sheetPr>
    <tabColor rgb="FF92D050"/>
  </sheetPr>
  <dimension ref="A1:O15"/>
  <sheetViews>
    <sheetView showGridLines="0" workbookViewId="0">
      <selection activeCell="C1" sqref="A1:XFD15"/>
    </sheetView>
  </sheetViews>
  <sheetFormatPr baseColWidth="10" defaultColWidth="11.453125" defaultRowHeight="12.5"/>
  <cols>
    <col min="1" max="1" width="5.453125" bestFit="1" customWidth="1"/>
    <col min="2" max="2" width="16.81640625"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5.7265625" bestFit="1" customWidth="1"/>
    <col min="11" max="11" width="11.26953125" bestFit="1" customWidth="1"/>
    <col min="12" max="12" width="10.26953125" bestFit="1" customWidth="1"/>
    <col min="13" max="13" width="5.7265625" bestFit="1" customWidth="1"/>
    <col min="14" max="14" width="11.26953125" bestFit="1" customWidth="1"/>
    <col min="15" max="15" width="11.7265625" bestFit="1" customWidth="1"/>
  </cols>
  <sheetData>
    <row r="1" spans="1:15" ht="12.65" customHeight="1">
      <c r="A1" s="358" t="s">
        <v>143</v>
      </c>
      <c r="B1" s="358" t="s">
        <v>144</v>
      </c>
      <c r="C1" s="363" t="s">
        <v>169</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60"/>
      <c r="B3" s="360"/>
      <c r="C3" s="128" t="s">
        <v>132</v>
      </c>
      <c r="D3" s="128" t="s">
        <v>151</v>
      </c>
      <c r="E3" s="137" t="s">
        <v>153</v>
      </c>
      <c r="F3" s="128" t="s">
        <v>132</v>
      </c>
      <c r="G3" s="128" t="s">
        <v>151</v>
      </c>
      <c r="H3" s="137" t="s">
        <v>153</v>
      </c>
      <c r="I3" s="128" t="s">
        <v>132</v>
      </c>
      <c r="J3" s="128" t="s">
        <v>151</v>
      </c>
      <c r="K3" s="137" t="s">
        <v>153</v>
      </c>
      <c r="L3" s="128" t="s">
        <v>132</v>
      </c>
      <c r="M3" s="128" t="s">
        <v>151</v>
      </c>
      <c r="N3" s="138" t="s">
        <v>153</v>
      </c>
      <c r="O3" s="354"/>
    </row>
    <row r="4" spans="1:15" ht="15.5">
      <c r="A4" s="54">
        <v>1</v>
      </c>
      <c r="B4" s="146" t="s">
        <v>167</v>
      </c>
      <c r="C4" s="157">
        <v>0.68799999999999994</v>
      </c>
      <c r="D4" s="157">
        <v>0.68</v>
      </c>
      <c r="E4" s="157">
        <f>D4/C4</f>
        <v>0.98837209302325602</v>
      </c>
      <c r="F4" s="157">
        <v>0.879</v>
      </c>
      <c r="G4" s="157">
        <v>0.879</v>
      </c>
      <c r="H4" s="157">
        <f>G4/F4</f>
        <v>1</v>
      </c>
      <c r="I4" s="157">
        <v>0.99299999999999999</v>
      </c>
      <c r="J4" s="157">
        <v>1</v>
      </c>
      <c r="K4" s="157">
        <f>J4/I4</f>
        <v>1.0070493454179255</v>
      </c>
      <c r="L4" s="157"/>
      <c r="M4" s="157"/>
      <c r="N4" s="157"/>
      <c r="O4" s="133">
        <f>(E4+H4+K4)/3</f>
        <v>0.99847381281372716</v>
      </c>
    </row>
    <row r="5" spans="1:15" ht="15.5">
      <c r="A5" s="54">
        <v>2</v>
      </c>
      <c r="B5" s="146" t="s">
        <v>168</v>
      </c>
      <c r="C5" s="154">
        <v>0.313</v>
      </c>
      <c r="D5" s="155">
        <v>0.32200000000000001</v>
      </c>
      <c r="E5" s="157">
        <f>D5/C5</f>
        <v>1.0287539936102237</v>
      </c>
      <c r="F5" s="155">
        <v>0.40400000000000003</v>
      </c>
      <c r="G5" s="155">
        <v>0.40400000000000003</v>
      </c>
      <c r="H5" s="157">
        <f>G5/F5</f>
        <v>1</v>
      </c>
      <c r="I5" s="156">
        <v>0.81799999999999995</v>
      </c>
      <c r="J5" s="156">
        <v>0.81799999999999995</v>
      </c>
      <c r="K5" s="157">
        <f>J5/I5</f>
        <v>1</v>
      </c>
      <c r="L5" s="156">
        <v>1</v>
      </c>
      <c r="M5" s="156">
        <v>1</v>
      </c>
      <c r="N5" s="157">
        <f>M5/L5</f>
        <v>1</v>
      </c>
      <c r="O5" s="133">
        <f>(E5+H5+K5+N5)/4</f>
        <v>1.0071884984025559</v>
      </c>
    </row>
    <row r="6" spans="1:15" ht="15.5">
      <c r="A6" s="54"/>
      <c r="B6" s="146"/>
      <c r="C6" s="157"/>
      <c r="D6" s="157"/>
      <c r="E6" s="157"/>
      <c r="F6" s="157"/>
      <c r="G6" s="157"/>
      <c r="H6" s="157"/>
      <c r="I6" s="157"/>
      <c r="J6" s="157"/>
      <c r="K6" s="157"/>
      <c r="L6" s="157"/>
      <c r="M6" s="157"/>
      <c r="N6" s="157"/>
      <c r="O6" s="133"/>
    </row>
    <row r="7" spans="1:15" ht="15.5">
      <c r="A7" s="54"/>
      <c r="B7" s="146"/>
      <c r="C7" s="157"/>
      <c r="D7" s="157"/>
      <c r="E7" s="157"/>
      <c r="F7" s="157"/>
      <c r="G7" s="157"/>
      <c r="H7" s="157"/>
      <c r="I7" s="157"/>
      <c r="J7" s="157"/>
      <c r="K7" s="157"/>
      <c r="L7" s="157"/>
      <c r="M7" s="157"/>
      <c r="N7" s="157"/>
      <c r="O7" s="133"/>
    </row>
    <row r="8" spans="1:15" ht="15.5">
      <c r="A8" s="54"/>
      <c r="B8" s="146"/>
      <c r="C8" s="157"/>
      <c r="D8" s="157"/>
      <c r="E8" s="157"/>
      <c r="F8" s="157"/>
      <c r="G8" s="157"/>
      <c r="H8" s="157"/>
      <c r="I8" s="157"/>
      <c r="J8" s="157"/>
      <c r="K8" s="157"/>
      <c r="L8" s="157"/>
      <c r="M8" s="157"/>
      <c r="N8" s="157"/>
      <c r="O8" s="133"/>
    </row>
    <row r="9" spans="1:15" ht="15.5">
      <c r="A9" s="54"/>
      <c r="B9" s="146"/>
      <c r="C9" s="157"/>
      <c r="D9" s="157"/>
      <c r="E9" s="157"/>
      <c r="F9" s="157"/>
      <c r="G9" s="157"/>
      <c r="H9" s="157"/>
      <c r="I9" s="157"/>
      <c r="J9" s="157"/>
      <c r="K9" s="157"/>
      <c r="L9" s="157"/>
      <c r="M9" s="157"/>
      <c r="N9" s="157"/>
      <c r="O9" s="133"/>
    </row>
    <row r="10" spans="1:15" ht="15.5">
      <c r="A10" s="54"/>
      <c r="B10" s="146"/>
      <c r="C10" s="157"/>
      <c r="D10" s="157"/>
      <c r="E10" s="157"/>
      <c r="F10" s="157"/>
      <c r="G10" s="157"/>
      <c r="H10" s="157"/>
      <c r="I10" s="157"/>
      <c r="J10" s="157"/>
      <c r="K10" s="157"/>
      <c r="L10" s="157"/>
      <c r="M10" s="157"/>
      <c r="N10" s="157"/>
      <c r="O10" s="133"/>
    </row>
    <row r="11" spans="1:15" ht="15.5">
      <c r="A11" s="54"/>
      <c r="B11" s="146"/>
      <c r="C11" s="154"/>
      <c r="D11" s="155"/>
      <c r="E11" s="155"/>
      <c r="F11" s="155"/>
      <c r="G11" s="155"/>
      <c r="H11" s="155"/>
      <c r="I11" s="156"/>
      <c r="J11" s="156"/>
      <c r="K11" s="156"/>
      <c r="L11" s="156"/>
      <c r="M11" s="156"/>
      <c r="N11" s="156"/>
      <c r="O11" s="133"/>
    </row>
    <row r="12" spans="1:15" ht="16" thickBot="1">
      <c r="A12" s="362" t="s">
        <v>157</v>
      </c>
      <c r="B12" s="362"/>
      <c r="C12" s="362"/>
      <c r="D12" s="52"/>
      <c r="E12" s="52"/>
      <c r="F12" s="52"/>
      <c r="G12" s="52"/>
      <c r="H12" s="52"/>
      <c r="I12" s="52"/>
      <c r="J12" s="52"/>
      <c r="K12" s="52"/>
      <c r="L12" s="52"/>
      <c r="M12" s="52"/>
      <c r="N12" s="52"/>
      <c r="O12" s="131"/>
    </row>
    <row r="13" spans="1:15" ht="16" thickBot="1">
      <c r="A13" s="365" t="s">
        <v>158</v>
      </c>
      <c r="B13" s="366"/>
      <c r="C13" s="366"/>
      <c r="D13" s="366"/>
      <c r="E13" s="366"/>
      <c r="F13" s="366"/>
      <c r="G13" s="366"/>
      <c r="H13" s="366"/>
      <c r="I13" s="58"/>
      <c r="J13" s="58"/>
      <c r="K13" s="58"/>
      <c r="L13" s="130">
        <f>AVERAGE(O4:O11)</f>
        <v>1.0028311556081415</v>
      </c>
      <c r="M13" s="129"/>
      <c r="N13" s="53"/>
    </row>
    <row r="14" spans="1:15" ht="16" thickBot="1">
      <c r="A14" s="365"/>
      <c r="B14" s="366"/>
      <c r="C14" s="366"/>
      <c r="D14" s="366"/>
      <c r="E14" s="366"/>
      <c r="F14" s="366"/>
      <c r="G14" s="366"/>
      <c r="H14" s="366"/>
      <c r="I14" s="58"/>
      <c r="J14" s="58"/>
      <c r="K14" s="58"/>
      <c r="L14" s="130"/>
      <c r="M14" s="129"/>
      <c r="N14" s="53"/>
    </row>
    <row r="15" spans="1:15" ht="16">
      <c r="B15" s="153"/>
    </row>
  </sheetData>
  <mergeCells count="11">
    <mergeCell ref="A12:C12"/>
    <mergeCell ref="A13:H13"/>
    <mergeCell ref="A14:H14"/>
    <mergeCell ref="O1:O3"/>
    <mergeCell ref="C2:E2"/>
    <mergeCell ref="F2:H2"/>
    <mergeCell ref="I2:K2"/>
    <mergeCell ref="L2:N2"/>
    <mergeCell ref="A1:A3"/>
    <mergeCell ref="B1:B3"/>
    <mergeCell ref="C1:N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9F91-D1BB-444F-B67C-82E2137CFD45}">
  <sheetPr>
    <tabColor rgb="FF92D050"/>
  </sheetPr>
  <dimension ref="A1:O10"/>
  <sheetViews>
    <sheetView showGridLines="0" workbookViewId="0">
      <selection activeCell="A9" sqref="A9"/>
    </sheetView>
  </sheetViews>
  <sheetFormatPr baseColWidth="10" defaultColWidth="11.453125" defaultRowHeight="12.5"/>
  <cols>
    <col min="1" max="1" width="5.453125" bestFit="1" customWidth="1"/>
    <col min="2" max="2" width="16.81640625"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5.7265625" bestFit="1" customWidth="1"/>
    <col min="11" max="11" width="11.26953125" bestFit="1" customWidth="1"/>
    <col min="12" max="12" width="10.26953125" bestFit="1" customWidth="1"/>
    <col min="13" max="13" width="5.7265625" bestFit="1" customWidth="1"/>
    <col min="14" max="14" width="11.26953125" bestFit="1" customWidth="1"/>
  </cols>
  <sheetData>
    <row r="1" spans="1:15" ht="12.65" customHeight="1">
      <c r="A1" s="358"/>
      <c r="B1" s="358"/>
      <c r="C1" s="363"/>
      <c r="D1" s="364"/>
      <c r="E1" s="364"/>
      <c r="F1" s="364"/>
      <c r="G1" s="364"/>
      <c r="H1" s="364"/>
      <c r="I1" s="364"/>
      <c r="J1" s="364"/>
      <c r="K1" s="364"/>
      <c r="L1" s="364"/>
      <c r="M1" s="364"/>
      <c r="N1" s="364"/>
      <c r="O1" s="352"/>
    </row>
    <row r="2" spans="1:15" ht="12.65" customHeight="1">
      <c r="A2" s="359"/>
      <c r="B2" s="361"/>
      <c r="C2" s="355"/>
      <c r="D2" s="356"/>
      <c r="E2" s="357"/>
      <c r="F2" s="355"/>
      <c r="G2" s="356"/>
      <c r="H2" s="357"/>
      <c r="I2" s="355"/>
      <c r="J2" s="356"/>
      <c r="K2" s="357"/>
      <c r="L2" s="355"/>
      <c r="M2" s="356"/>
      <c r="N2" s="356"/>
      <c r="O2" s="353"/>
    </row>
    <row r="3" spans="1:15" ht="15.5">
      <c r="A3" s="360"/>
      <c r="B3" s="360"/>
      <c r="C3" s="128"/>
      <c r="D3" s="128"/>
      <c r="E3" s="137"/>
      <c r="F3" s="128"/>
      <c r="G3" s="128"/>
      <c r="H3" s="137"/>
      <c r="I3" s="128"/>
      <c r="J3" s="128"/>
      <c r="K3" s="137"/>
      <c r="L3" s="128"/>
      <c r="M3" s="128"/>
      <c r="N3" s="138"/>
      <c r="O3" s="354"/>
    </row>
    <row r="4" spans="1:15" ht="15.5">
      <c r="A4" s="54"/>
      <c r="B4" s="56"/>
      <c r="C4" s="134"/>
      <c r="D4" s="132"/>
      <c r="E4" s="136"/>
      <c r="F4" s="132"/>
      <c r="G4" s="132"/>
      <c r="H4" s="136"/>
      <c r="I4" s="54"/>
      <c r="J4" s="54"/>
      <c r="K4" s="136"/>
      <c r="L4" s="55"/>
      <c r="M4" s="55"/>
      <c r="N4" s="139"/>
      <c r="O4" s="133"/>
    </row>
    <row r="5" spans="1:15" ht="15.5">
      <c r="A5" s="54"/>
      <c r="B5" s="57"/>
      <c r="C5" s="134"/>
      <c r="D5" s="134"/>
      <c r="E5" s="136"/>
      <c r="F5" s="140"/>
      <c r="G5" s="140"/>
      <c r="H5" s="136"/>
      <c r="I5" s="54"/>
      <c r="J5" s="54"/>
      <c r="K5" s="136"/>
      <c r="L5" s="55"/>
      <c r="M5" s="55"/>
      <c r="N5" s="139"/>
      <c r="O5" s="133"/>
    </row>
    <row r="6" spans="1:15" ht="15.5">
      <c r="A6" s="54"/>
      <c r="B6" s="56"/>
      <c r="C6" s="134"/>
      <c r="D6" s="134"/>
      <c r="E6" s="136"/>
      <c r="F6" s="132"/>
      <c r="G6" s="135"/>
      <c r="H6" s="136"/>
      <c r="I6" s="127"/>
      <c r="J6" s="127"/>
      <c r="K6" s="136"/>
      <c r="L6" s="55"/>
      <c r="M6" s="55"/>
      <c r="N6" s="139"/>
      <c r="O6" s="133"/>
    </row>
    <row r="7" spans="1:15" ht="15.5">
      <c r="A7" s="362"/>
      <c r="B7" s="362"/>
      <c r="C7" s="362"/>
      <c r="D7" s="52"/>
      <c r="E7" s="52"/>
      <c r="F7" s="52"/>
      <c r="G7" s="52"/>
      <c r="H7" s="52"/>
      <c r="I7" s="52"/>
      <c r="J7" s="52"/>
      <c r="K7" s="52"/>
      <c r="L7" s="52"/>
      <c r="M7" s="52"/>
      <c r="N7" s="52"/>
      <c r="O7" s="131"/>
    </row>
    <row r="8" spans="1:15" ht="15.5">
      <c r="A8" s="365"/>
      <c r="B8" s="366"/>
      <c r="C8" s="366"/>
      <c r="D8" s="366"/>
      <c r="E8" s="366"/>
      <c r="F8" s="366"/>
      <c r="G8" s="366"/>
      <c r="H8" s="366"/>
      <c r="I8" s="58"/>
      <c r="J8" s="58"/>
      <c r="K8" s="58"/>
      <c r="L8" s="130"/>
      <c r="M8" s="129"/>
      <c r="N8" s="53"/>
    </row>
    <row r="9" spans="1:15" ht="13">
      <c r="A9" s="144" t="s">
        <v>170</v>
      </c>
    </row>
    <row r="10" spans="1:15">
      <c r="G10" s="27"/>
      <c r="H10" s="27"/>
    </row>
  </sheetData>
  <mergeCells count="10">
    <mergeCell ref="O1:O3"/>
    <mergeCell ref="C2:E2"/>
    <mergeCell ref="F2:H2"/>
    <mergeCell ref="I2:K2"/>
    <mergeCell ref="L2:N2"/>
    <mergeCell ref="A7:C7"/>
    <mergeCell ref="A8:H8"/>
    <mergeCell ref="A1:A3"/>
    <mergeCell ref="B1:B3"/>
    <mergeCell ref="C1:N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1182-327D-4E8C-A97B-24742CE8A064}">
  <sheetPr>
    <tabColor rgb="FF92D050"/>
  </sheetPr>
  <dimension ref="A1:O15"/>
  <sheetViews>
    <sheetView showGridLines="0" zoomScale="78" zoomScaleNormal="78" workbookViewId="0">
      <selection activeCell="C1" sqref="A1:XFD15"/>
    </sheetView>
  </sheetViews>
  <sheetFormatPr baseColWidth="10" defaultColWidth="11.453125" defaultRowHeight="12.5"/>
  <cols>
    <col min="1" max="1" width="5.453125" bestFit="1" customWidth="1"/>
    <col min="2" max="2" width="24"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5.7265625" bestFit="1" customWidth="1"/>
    <col min="11" max="11" width="11.26953125" bestFit="1" customWidth="1"/>
    <col min="12" max="12" width="10.26953125" bestFit="1" customWidth="1"/>
    <col min="13" max="13" width="5.7265625" bestFit="1" customWidth="1"/>
    <col min="14" max="14" width="11.26953125" bestFit="1" customWidth="1"/>
  </cols>
  <sheetData>
    <row r="1" spans="1:15" ht="12.65" customHeight="1">
      <c r="A1" s="358" t="s">
        <v>143</v>
      </c>
      <c r="B1" s="358" t="s">
        <v>144</v>
      </c>
      <c r="C1" s="363" t="s">
        <v>171</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60"/>
      <c r="B3" s="360"/>
      <c r="C3" s="128" t="s">
        <v>132</v>
      </c>
      <c r="D3" s="128" t="s">
        <v>151</v>
      </c>
      <c r="E3" s="137" t="s">
        <v>153</v>
      </c>
      <c r="F3" s="128" t="s">
        <v>132</v>
      </c>
      <c r="G3" s="128" t="s">
        <v>151</v>
      </c>
      <c r="H3" s="137" t="s">
        <v>153</v>
      </c>
      <c r="I3" s="128" t="s">
        <v>132</v>
      </c>
      <c r="J3" s="128" t="s">
        <v>151</v>
      </c>
      <c r="K3" s="137" t="s">
        <v>153</v>
      </c>
      <c r="L3" s="128" t="s">
        <v>132</v>
      </c>
      <c r="M3" s="128" t="s">
        <v>151</v>
      </c>
      <c r="N3" s="138" t="s">
        <v>153</v>
      </c>
      <c r="O3" s="354"/>
    </row>
    <row r="4" spans="1:15" ht="15.5">
      <c r="A4" s="54">
        <v>1</v>
      </c>
      <c r="B4" s="146" t="s">
        <v>172</v>
      </c>
      <c r="C4" s="157">
        <v>0.74299999999999999</v>
      </c>
      <c r="D4" s="157">
        <v>0.74299999999999999</v>
      </c>
      <c r="E4" s="157">
        <f>D4/C4</f>
        <v>1</v>
      </c>
      <c r="F4" s="157">
        <v>0.39</v>
      </c>
      <c r="G4" s="157">
        <v>0.39</v>
      </c>
      <c r="H4" s="157">
        <f>G4/F4</f>
        <v>1</v>
      </c>
      <c r="I4" s="157">
        <v>0.87009999999999998</v>
      </c>
      <c r="J4" s="157">
        <v>0.87009999999999998</v>
      </c>
      <c r="K4" s="157">
        <f>J4/I4</f>
        <v>1</v>
      </c>
      <c r="L4" s="157">
        <v>1</v>
      </c>
      <c r="M4" s="157">
        <v>1</v>
      </c>
      <c r="N4" s="157">
        <f>M4/L4</f>
        <v>1</v>
      </c>
      <c r="O4" s="133">
        <f>(E4+H4+K4+N4)/4</f>
        <v>1</v>
      </c>
    </row>
    <row r="5" spans="1:15" ht="15.5">
      <c r="A5" s="54">
        <v>2</v>
      </c>
      <c r="B5" s="146" t="s">
        <v>173</v>
      </c>
      <c r="C5" s="158"/>
      <c r="D5" s="159"/>
      <c r="E5" s="160"/>
      <c r="F5" s="159"/>
      <c r="G5" s="159"/>
      <c r="H5" s="160"/>
      <c r="I5" s="161"/>
      <c r="J5" s="161"/>
      <c r="K5" s="160"/>
      <c r="L5" s="162">
        <v>1</v>
      </c>
      <c r="M5" s="162">
        <v>1</v>
      </c>
      <c r="N5" s="157">
        <f>M5/L5</f>
        <v>1</v>
      </c>
      <c r="O5" s="133">
        <f>(N5)/1</f>
        <v>1</v>
      </c>
    </row>
    <row r="6" spans="1:15" ht="15.5">
      <c r="A6" s="54">
        <v>3</v>
      </c>
      <c r="B6" s="146" t="s">
        <v>174</v>
      </c>
      <c r="C6" s="157"/>
      <c r="D6" s="157"/>
      <c r="E6" s="157"/>
      <c r="F6" s="157"/>
      <c r="G6" s="157"/>
      <c r="H6" s="157"/>
      <c r="I6" s="157">
        <v>0.27550000000000002</v>
      </c>
      <c r="J6" s="157">
        <v>0.27550000000000002</v>
      </c>
      <c r="K6" s="157">
        <f>J6/I6</f>
        <v>1</v>
      </c>
      <c r="L6" s="157">
        <v>1</v>
      </c>
      <c r="M6" s="157">
        <v>1</v>
      </c>
      <c r="N6" s="157">
        <f>M6/L6</f>
        <v>1</v>
      </c>
      <c r="O6" s="133">
        <f>(K6+N6)/2</f>
        <v>1</v>
      </c>
    </row>
    <row r="7" spans="1:15" ht="15.5">
      <c r="A7" s="54"/>
      <c r="B7" s="146"/>
      <c r="C7" s="157"/>
      <c r="D7" s="157"/>
      <c r="E7" s="157"/>
      <c r="F7" s="157"/>
      <c r="G7" s="157"/>
      <c r="H7" s="157"/>
      <c r="I7" s="157"/>
      <c r="J7" s="157"/>
      <c r="K7" s="157"/>
      <c r="L7" s="157"/>
      <c r="M7" s="157"/>
      <c r="N7" s="157"/>
      <c r="O7" s="133"/>
    </row>
    <row r="8" spans="1:15" ht="15.5">
      <c r="A8" s="54"/>
      <c r="B8" s="146"/>
      <c r="C8" s="157"/>
      <c r="D8" s="157"/>
      <c r="E8" s="157"/>
      <c r="F8" s="157"/>
      <c r="G8" s="157"/>
      <c r="H8" s="157"/>
      <c r="I8" s="157"/>
      <c r="J8" s="157"/>
      <c r="K8" s="157"/>
      <c r="L8" s="157"/>
      <c r="M8" s="157"/>
      <c r="N8" s="157"/>
      <c r="O8" s="133"/>
    </row>
    <row r="9" spans="1:15" ht="15.5">
      <c r="A9" s="54"/>
      <c r="B9" s="146"/>
      <c r="C9" s="157"/>
      <c r="D9" s="157"/>
      <c r="E9" s="157"/>
      <c r="F9" s="157"/>
      <c r="G9" s="157"/>
      <c r="H9" s="157"/>
      <c r="I9" s="157"/>
      <c r="J9" s="157"/>
      <c r="K9" s="157"/>
      <c r="L9" s="157"/>
      <c r="M9" s="157"/>
      <c r="N9" s="157"/>
      <c r="O9" s="133"/>
    </row>
    <row r="10" spans="1:15" ht="15.5">
      <c r="A10" s="54"/>
      <c r="B10" s="146"/>
      <c r="C10" s="157"/>
      <c r="D10" s="157"/>
      <c r="E10" s="157"/>
      <c r="F10" s="157"/>
      <c r="G10" s="157"/>
      <c r="H10" s="157"/>
      <c r="I10" s="157"/>
      <c r="J10" s="157"/>
      <c r="K10" s="157"/>
      <c r="L10" s="157"/>
      <c r="M10" s="157"/>
      <c r="N10" s="157"/>
      <c r="O10" s="133"/>
    </row>
    <row r="11" spans="1:15" ht="15.5">
      <c r="A11" s="54"/>
      <c r="B11" s="146"/>
      <c r="C11" s="154"/>
      <c r="D11" s="155"/>
      <c r="E11" s="155"/>
      <c r="F11" s="155"/>
      <c r="G11" s="155"/>
      <c r="H11" s="155"/>
      <c r="I11" s="156"/>
      <c r="J11" s="156"/>
      <c r="K11" s="156"/>
      <c r="L11" s="156"/>
      <c r="M11" s="156"/>
      <c r="N11" s="156"/>
      <c r="O11" s="133"/>
    </row>
    <row r="12" spans="1:15" ht="16" thickBot="1">
      <c r="A12" s="362" t="s">
        <v>157</v>
      </c>
      <c r="B12" s="362"/>
      <c r="C12" s="362"/>
      <c r="D12" s="52"/>
      <c r="E12" s="52"/>
      <c r="F12" s="52"/>
      <c r="G12" s="52"/>
      <c r="H12" s="52"/>
      <c r="I12" s="52"/>
      <c r="J12" s="52"/>
      <c r="K12" s="52"/>
      <c r="L12" s="52"/>
      <c r="M12" s="52"/>
      <c r="N12" s="52"/>
      <c r="O12" s="131"/>
    </row>
    <row r="13" spans="1:15" ht="16" thickBot="1">
      <c r="A13" s="365" t="s">
        <v>158</v>
      </c>
      <c r="B13" s="366"/>
      <c r="C13" s="366"/>
      <c r="D13" s="366"/>
      <c r="E13" s="366"/>
      <c r="F13" s="366"/>
      <c r="G13" s="366"/>
      <c r="H13" s="366"/>
      <c r="I13" s="58"/>
      <c r="J13" s="58"/>
      <c r="K13" s="58"/>
      <c r="L13" s="130">
        <f>AVERAGE(O4:O11)</f>
        <v>1</v>
      </c>
      <c r="M13" s="129"/>
      <c r="N13" s="53"/>
    </row>
    <row r="14" spans="1:15" ht="16" thickBot="1">
      <c r="A14" s="365"/>
      <c r="B14" s="366"/>
      <c r="C14" s="366"/>
      <c r="D14" s="366"/>
      <c r="E14" s="366"/>
      <c r="F14" s="366"/>
      <c r="G14" s="366"/>
      <c r="H14" s="366"/>
      <c r="I14" s="58"/>
      <c r="J14" s="58"/>
      <c r="K14" s="58"/>
      <c r="L14" s="130"/>
      <c r="M14" s="129"/>
      <c r="N14" s="53"/>
    </row>
    <row r="15" spans="1:15" ht="16">
      <c r="B15" s="153"/>
    </row>
  </sheetData>
  <mergeCells count="11">
    <mergeCell ref="A12:C12"/>
    <mergeCell ref="A13:H13"/>
    <mergeCell ref="A14:H14"/>
    <mergeCell ref="O1:O3"/>
    <mergeCell ref="C2:E2"/>
    <mergeCell ref="F2:H2"/>
    <mergeCell ref="I2:K2"/>
    <mergeCell ref="L2:N2"/>
    <mergeCell ref="A1:A3"/>
    <mergeCell ref="B1:B3"/>
    <mergeCell ref="C1:N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9B1A0-CE26-4B7B-937B-AABC1285D2BC}">
  <sheetPr>
    <tabColor rgb="FF92D050"/>
  </sheetPr>
  <dimension ref="A1:O13"/>
  <sheetViews>
    <sheetView showGridLines="0" zoomScale="93" workbookViewId="0">
      <selection sqref="A1:XFD1048576"/>
    </sheetView>
  </sheetViews>
  <sheetFormatPr baseColWidth="10" defaultColWidth="11.453125" defaultRowHeight="12.5"/>
  <cols>
    <col min="1" max="1" width="5.453125" bestFit="1" customWidth="1"/>
    <col min="2" max="2" width="24"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6.7265625" bestFit="1" customWidth="1"/>
    <col min="11" max="11" width="11.26953125" bestFit="1" customWidth="1"/>
    <col min="12" max="12" width="10.453125" bestFit="1" customWidth="1"/>
    <col min="13" max="13" width="6.7265625" bestFit="1" customWidth="1"/>
    <col min="14" max="14" width="11.26953125" bestFit="1" customWidth="1"/>
  </cols>
  <sheetData>
    <row r="1" spans="1:15" ht="12.65" customHeight="1">
      <c r="A1" s="358" t="s">
        <v>143</v>
      </c>
      <c r="B1" s="358" t="s">
        <v>144</v>
      </c>
      <c r="C1" s="363" t="s">
        <v>176</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60"/>
      <c r="B3" s="360"/>
      <c r="C3" s="128" t="s">
        <v>132</v>
      </c>
      <c r="D3" s="128" t="s">
        <v>151</v>
      </c>
      <c r="E3" s="137" t="s">
        <v>153</v>
      </c>
      <c r="F3" s="128" t="s">
        <v>132</v>
      </c>
      <c r="G3" s="128" t="s">
        <v>151</v>
      </c>
      <c r="H3" s="137" t="s">
        <v>153</v>
      </c>
      <c r="I3" s="128" t="s">
        <v>132</v>
      </c>
      <c r="J3" s="128" t="s">
        <v>151</v>
      </c>
      <c r="K3" s="137" t="s">
        <v>153</v>
      </c>
      <c r="L3" s="128" t="s">
        <v>132</v>
      </c>
      <c r="M3" s="128" t="s">
        <v>151</v>
      </c>
      <c r="N3" s="138" t="s">
        <v>153</v>
      </c>
      <c r="O3" s="354"/>
    </row>
    <row r="4" spans="1:15" ht="15.5">
      <c r="A4" s="54">
        <v>1</v>
      </c>
      <c r="B4" s="146" t="s">
        <v>177</v>
      </c>
      <c r="C4" s="163"/>
      <c r="D4" s="163"/>
      <c r="E4" s="163"/>
      <c r="F4" s="157">
        <v>0.29630000000000001</v>
      </c>
      <c r="G4" s="157">
        <v>0.29630000000000001</v>
      </c>
      <c r="H4" s="157">
        <f>G4/F4</f>
        <v>1</v>
      </c>
      <c r="I4" s="157">
        <v>0.30259999999999998</v>
      </c>
      <c r="J4" s="157">
        <v>0.30259999999999998</v>
      </c>
      <c r="K4" s="157">
        <f>J4/I4</f>
        <v>1</v>
      </c>
      <c r="L4" s="157">
        <v>0.60370000000000001</v>
      </c>
      <c r="M4" s="157">
        <v>0.60170000000000001</v>
      </c>
      <c r="N4" s="157">
        <f>M4/L4</f>
        <v>0.99668709623985419</v>
      </c>
      <c r="O4" s="133">
        <f>(H4+K4+N4)/3</f>
        <v>0.99889569874661799</v>
      </c>
    </row>
    <row r="5" spans="1:15" ht="15.5">
      <c r="A5" s="54"/>
      <c r="B5" s="146" t="s">
        <v>178</v>
      </c>
      <c r="C5" s="157">
        <v>0.27550000000000002</v>
      </c>
      <c r="D5" s="157">
        <v>0.27550000000000002</v>
      </c>
      <c r="E5" s="157">
        <f>D5/C5</f>
        <v>1</v>
      </c>
      <c r="F5" s="157">
        <v>0.54810000000000003</v>
      </c>
      <c r="G5" s="157">
        <v>0.54810000000000003</v>
      </c>
      <c r="H5" s="157">
        <f t="shared" ref="H5" si="0">G5/F5</f>
        <v>1</v>
      </c>
      <c r="I5" s="157">
        <v>0.89419999999999999</v>
      </c>
      <c r="J5" s="157">
        <v>0.93269999999999997</v>
      </c>
      <c r="K5" s="157">
        <f>J5/I5</f>
        <v>1.0430552449116528</v>
      </c>
      <c r="L5" s="163"/>
      <c r="M5" s="163"/>
      <c r="N5" s="163"/>
      <c r="O5" s="133">
        <f>(E5+H5+K5)/3</f>
        <v>1.0143517483038842</v>
      </c>
    </row>
    <row r="6" spans="1:15" ht="15.5">
      <c r="A6" s="54"/>
      <c r="B6" s="146" t="s">
        <v>179</v>
      </c>
      <c r="C6" s="154"/>
      <c r="D6" s="155"/>
      <c r="E6" s="155"/>
      <c r="F6" s="155"/>
      <c r="G6" s="155"/>
      <c r="H6" s="157"/>
      <c r="I6" s="156">
        <v>0.8952</v>
      </c>
      <c r="J6" s="156">
        <v>0.8952</v>
      </c>
      <c r="K6" s="157">
        <f>J6/I6</f>
        <v>1</v>
      </c>
      <c r="L6" s="164"/>
      <c r="M6" s="164"/>
      <c r="N6" s="164"/>
      <c r="O6" s="133">
        <f>K6</f>
        <v>1</v>
      </c>
    </row>
    <row r="7" spans="1:15" ht="16" thickBot="1">
      <c r="A7" s="362" t="s">
        <v>157</v>
      </c>
      <c r="B7" s="362"/>
      <c r="C7" s="362"/>
      <c r="D7" s="52"/>
      <c r="E7" s="52"/>
      <c r="F7" s="52"/>
      <c r="G7" s="52"/>
      <c r="H7" s="52"/>
      <c r="I7" s="52"/>
      <c r="J7" s="52"/>
      <c r="K7" s="52"/>
      <c r="L7" s="52"/>
      <c r="M7" s="52"/>
      <c r="N7" s="52"/>
      <c r="O7" s="131"/>
    </row>
    <row r="8" spans="1:15" ht="16" thickBot="1">
      <c r="A8" s="365" t="s">
        <v>158</v>
      </c>
      <c r="B8" s="366"/>
      <c r="C8" s="366"/>
      <c r="D8" s="366"/>
      <c r="E8" s="366"/>
      <c r="F8" s="366"/>
      <c r="G8" s="366"/>
      <c r="H8" s="366"/>
      <c r="I8" s="58"/>
      <c r="J8" s="58"/>
      <c r="K8" s="58"/>
      <c r="L8" s="130">
        <f>AVERAGE(O4:O6)</f>
        <v>1.0044158156835008</v>
      </c>
      <c r="M8" s="129"/>
      <c r="N8" s="53"/>
    </row>
    <row r="9" spans="1:15" ht="16" thickBot="1">
      <c r="A9" s="365"/>
      <c r="B9" s="366"/>
      <c r="C9" s="366"/>
      <c r="D9" s="366"/>
      <c r="E9" s="366"/>
      <c r="F9" s="366"/>
      <c r="G9" s="366"/>
      <c r="H9" s="366"/>
      <c r="I9" s="58"/>
      <c r="J9" s="58"/>
      <c r="K9" s="58"/>
      <c r="L9" s="130"/>
      <c r="M9" s="129"/>
      <c r="N9" s="53"/>
    </row>
    <row r="13" spans="1:15">
      <c r="K13" s="27"/>
    </row>
  </sheetData>
  <mergeCells count="11">
    <mergeCell ref="A9:H9"/>
    <mergeCell ref="A1:A3"/>
    <mergeCell ref="B1:B3"/>
    <mergeCell ref="C1:N1"/>
    <mergeCell ref="A7:C7"/>
    <mergeCell ref="A8:H8"/>
    <mergeCell ref="O1:O3"/>
    <mergeCell ref="C2:E2"/>
    <mergeCell ref="F2:H2"/>
    <mergeCell ref="I2:K2"/>
    <mergeCell ref="L2:N2"/>
  </mergeCells>
  <phoneticPr fontId="1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E7853-E22D-4223-BFC6-765A2ABA4182}">
  <sheetPr>
    <tabColor rgb="FF92D050"/>
  </sheetPr>
  <dimension ref="A1:O19"/>
  <sheetViews>
    <sheetView showGridLines="0" workbookViewId="0">
      <selection sqref="A1:XFD1048576"/>
    </sheetView>
  </sheetViews>
  <sheetFormatPr baseColWidth="10" defaultColWidth="11.453125" defaultRowHeight="12.5"/>
  <cols>
    <col min="1" max="1" width="5.453125" bestFit="1" customWidth="1"/>
    <col min="2" max="2" width="24"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7" bestFit="1" customWidth="1"/>
    <col min="11" max="11" width="11.26953125" bestFit="1" customWidth="1"/>
    <col min="12" max="12" width="10.453125" bestFit="1" customWidth="1"/>
    <col min="13" max="13" width="6.7265625" bestFit="1" customWidth="1"/>
    <col min="14" max="14" width="11.26953125" bestFit="1" customWidth="1"/>
  </cols>
  <sheetData>
    <row r="1" spans="1:15" ht="12.65" customHeight="1">
      <c r="A1" s="358" t="s">
        <v>143</v>
      </c>
      <c r="B1" s="358" t="s">
        <v>144</v>
      </c>
      <c r="C1" s="363" t="s">
        <v>175</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59"/>
      <c r="B3" s="359"/>
      <c r="C3" s="128" t="s">
        <v>151</v>
      </c>
      <c r="D3" s="128" t="s">
        <v>152</v>
      </c>
      <c r="E3" s="137" t="s">
        <v>153</v>
      </c>
      <c r="F3" s="128" t="s">
        <v>151</v>
      </c>
      <c r="G3" s="128" t="s">
        <v>152</v>
      </c>
      <c r="H3" s="137" t="s">
        <v>153</v>
      </c>
      <c r="I3" s="128" t="s">
        <v>151</v>
      </c>
      <c r="J3" s="128" t="s">
        <v>152</v>
      </c>
      <c r="K3" s="137" t="s">
        <v>153</v>
      </c>
      <c r="L3" s="128" t="s">
        <v>151</v>
      </c>
      <c r="M3" s="128" t="s">
        <v>152</v>
      </c>
      <c r="N3" s="138" t="s">
        <v>153</v>
      </c>
      <c r="O3" s="353"/>
    </row>
    <row r="4" spans="1:15" ht="15.5">
      <c r="A4" s="54">
        <v>1</v>
      </c>
      <c r="B4" s="146" t="s">
        <v>183</v>
      </c>
      <c r="C4" s="134">
        <v>0.41909999999999997</v>
      </c>
      <c r="D4" s="134">
        <v>0.55210000000000004</v>
      </c>
      <c r="E4" s="136">
        <f>C4/D4</f>
        <v>0.75910161202680659</v>
      </c>
      <c r="F4" s="134">
        <v>0.63260000000000005</v>
      </c>
      <c r="G4" s="134">
        <v>0.65710000000000002</v>
      </c>
      <c r="H4" s="136">
        <f>F4/G4</f>
        <v>0.96271495967128295</v>
      </c>
      <c r="I4" s="140">
        <v>0.66869999999999996</v>
      </c>
      <c r="J4" s="140">
        <v>0.66869999999999996</v>
      </c>
      <c r="K4" s="136">
        <f>I4/J4</f>
        <v>1</v>
      </c>
      <c r="L4" s="142">
        <v>0.91800000000000004</v>
      </c>
      <c r="M4" s="142">
        <v>0.872</v>
      </c>
      <c r="N4" s="136">
        <f>L4/M4</f>
        <v>1.0527522935779816</v>
      </c>
      <c r="O4" s="133">
        <f>(E4+H4+K4+N4)/4</f>
        <v>0.94364221631901768</v>
      </c>
    </row>
    <row r="5" spans="1:15" ht="15.5">
      <c r="A5" s="54">
        <v>2</v>
      </c>
      <c r="B5" s="146" t="s">
        <v>184</v>
      </c>
      <c r="C5" s="134">
        <v>0.14180000000000001</v>
      </c>
      <c r="D5" s="134">
        <v>0.14180000000000001</v>
      </c>
      <c r="E5" s="136">
        <f>C5/D5</f>
        <v>1</v>
      </c>
      <c r="F5" s="134">
        <v>0.24</v>
      </c>
      <c r="G5" s="134">
        <v>0.24</v>
      </c>
      <c r="H5" s="136">
        <f>F5/G5</f>
        <v>1</v>
      </c>
      <c r="I5" s="140">
        <v>0.32969999999999999</v>
      </c>
      <c r="J5" s="140">
        <v>0.32969999999999999</v>
      </c>
      <c r="K5" s="136">
        <f>I5/J5</f>
        <v>1</v>
      </c>
      <c r="L5" s="142">
        <v>0.44319999999999998</v>
      </c>
      <c r="M5" s="142">
        <v>0.44690000000000002</v>
      </c>
      <c r="N5" s="136">
        <f>L5/M5</f>
        <v>0.99172074289550227</v>
      </c>
      <c r="O5" s="133">
        <f t="shared" ref="O5:O7" si="0">(E5+H5+K5+N5)/4</f>
        <v>0.9979301857238756</v>
      </c>
    </row>
    <row r="6" spans="1:15" ht="15.5">
      <c r="A6" s="54">
        <v>3</v>
      </c>
      <c r="B6" s="146" t="s">
        <v>185</v>
      </c>
      <c r="C6" s="165">
        <v>0.22650000000000001</v>
      </c>
      <c r="D6" s="134">
        <v>0.22650000000000001</v>
      </c>
      <c r="E6" s="136">
        <f>C6/D6</f>
        <v>1</v>
      </c>
      <c r="F6" s="165">
        <v>0.30280000000000001</v>
      </c>
      <c r="G6" s="134">
        <v>35.36</v>
      </c>
      <c r="H6" s="136">
        <f>F6/G6</f>
        <v>8.5633484162895932E-3</v>
      </c>
      <c r="I6" s="132">
        <v>0.42099999999999999</v>
      </c>
      <c r="J6" s="132">
        <v>0.43090000000000001</v>
      </c>
      <c r="K6" s="136">
        <f>I6/J6</f>
        <v>0.97702483174750521</v>
      </c>
      <c r="L6" s="54">
        <v>51.4</v>
      </c>
      <c r="M6" s="54">
        <v>51.4</v>
      </c>
      <c r="N6" s="136">
        <f>L6/M6</f>
        <v>1</v>
      </c>
      <c r="O6" s="133">
        <f t="shared" si="0"/>
        <v>0.74639704504094873</v>
      </c>
    </row>
    <row r="7" spans="1:15" ht="15.5">
      <c r="A7" s="54">
        <v>4</v>
      </c>
      <c r="B7" s="146" t="s">
        <v>181</v>
      </c>
      <c r="C7" s="134">
        <v>0.1973</v>
      </c>
      <c r="D7" s="134">
        <v>0.1973</v>
      </c>
      <c r="E7" s="136">
        <f t="shared" ref="E7" si="1">C7/D7</f>
        <v>1</v>
      </c>
      <c r="F7" s="134">
        <v>0.26190000000000002</v>
      </c>
      <c r="G7" s="134">
        <v>0.27889999999999998</v>
      </c>
      <c r="H7" s="136">
        <f>F7/G7</f>
        <v>0.93904625313732537</v>
      </c>
      <c r="I7" s="142">
        <v>0.33110000000000001</v>
      </c>
      <c r="J7" s="142">
        <v>0.36180000000000001</v>
      </c>
      <c r="K7" s="136">
        <f>I7/J7</f>
        <v>0.91514648977335544</v>
      </c>
      <c r="L7" s="142">
        <v>0.52529999999999999</v>
      </c>
      <c r="M7" s="142">
        <v>0.53239999999999998</v>
      </c>
      <c r="N7" s="136">
        <f>L7/M7</f>
        <v>0.986664162283997</v>
      </c>
      <c r="O7" s="133">
        <f t="shared" si="0"/>
        <v>0.96021422629866948</v>
      </c>
    </row>
    <row r="8" spans="1:15" ht="15.5">
      <c r="A8" s="54">
        <v>5</v>
      </c>
      <c r="B8" s="146" t="s">
        <v>187</v>
      </c>
      <c r="C8" s="165">
        <v>0.7026</v>
      </c>
      <c r="D8" s="141">
        <v>0.75</v>
      </c>
      <c r="E8" s="136">
        <f t="shared" ref="E8" si="2">C8/D8</f>
        <v>0.93679999999999997</v>
      </c>
      <c r="F8" s="165">
        <v>0.90029999999999999</v>
      </c>
      <c r="G8" s="141">
        <v>0.96050000000000002</v>
      </c>
      <c r="H8" s="136">
        <f t="shared" ref="H8" si="3">F8/G8</f>
        <v>0.93732431025507545</v>
      </c>
      <c r="I8" s="54">
        <v>93.42</v>
      </c>
      <c r="J8" s="54">
        <v>95.15</v>
      </c>
      <c r="K8" s="136">
        <f t="shared" ref="K8" si="4">I8/J8</f>
        <v>0.98181818181818181</v>
      </c>
      <c r="L8" s="54"/>
      <c r="M8" s="54"/>
      <c r="N8" s="136"/>
      <c r="O8" s="133">
        <f>(E8+H8+K8+N8)/3</f>
        <v>0.95198083069108586</v>
      </c>
    </row>
    <row r="9" spans="1:15" ht="15.5">
      <c r="A9" s="54">
        <v>6</v>
      </c>
      <c r="B9" s="146" t="s">
        <v>180</v>
      </c>
      <c r="C9" s="165"/>
      <c r="D9" s="134"/>
      <c r="E9" s="136"/>
      <c r="F9" s="165">
        <v>0.2024</v>
      </c>
      <c r="G9" s="134">
        <v>0.20519999999999999</v>
      </c>
      <c r="H9" s="136">
        <f t="shared" ref="H9" si="5">F9/G9</f>
        <v>0.9863547758284601</v>
      </c>
      <c r="I9" s="142">
        <v>0.36070000000000002</v>
      </c>
      <c r="J9" s="142">
        <v>0.3362</v>
      </c>
      <c r="K9" s="136">
        <f t="shared" ref="K9:K10" si="6">I9/J9</f>
        <v>1.0728732897085069</v>
      </c>
      <c r="L9" s="142">
        <v>0.48820000000000002</v>
      </c>
      <c r="M9" s="142">
        <v>0.48470000000000002</v>
      </c>
      <c r="N9" s="136">
        <f>L9/M9</f>
        <v>1.0072209614194347</v>
      </c>
      <c r="O9" s="133">
        <f>(H9+K9+N9)/3</f>
        <v>1.022149675652134</v>
      </c>
    </row>
    <row r="10" spans="1:15" ht="15.5">
      <c r="A10" s="54">
        <v>7</v>
      </c>
      <c r="B10" s="146" t="s">
        <v>182</v>
      </c>
      <c r="C10" s="134"/>
      <c r="D10" s="134"/>
      <c r="E10" s="136"/>
      <c r="F10" s="134"/>
      <c r="G10" s="134"/>
      <c r="H10" s="136"/>
      <c r="I10" s="140">
        <v>0.25219999999999998</v>
      </c>
      <c r="J10" s="140">
        <v>0.20380000000000001</v>
      </c>
      <c r="K10" s="136">
        <f t="shared" si="6"/>
        <v>1.2374877330716387</v>
      </c>
      <c r="L10" s="142">
        <v>0.38219999999999998</v>
      </c>
      <c r="M10" s="142">
        <v>0.38219999999999998</v>
      </c>
      <c r="N10" s="136">
        <f t="shared" ref="N10" si="7">L10/M10</f>
        <v>1</v>
      </c>
      <c r="O10" s="133">
        <f>(K10+N10)/2</f>
        <v>1.1187438665358194</v>
      </c>
    </row>
    <row r="11" spans="1:15" ht="15.5">
      <c r="A11" s="54">
        <v>8</v>
      </c>
      <c r="B11" s="146" t="s">
        <v>186</v>
      </c>
      <c r="C11" s="165"/>
      <c r="D11" s="141"/>
      <c r="E11" s="136"/>
      <c r="F11" s="165"/>
      <c r="G11" s="141"/>
      <c r="H11" s="136"/>
      <c r="I11" s="54"/>
      <c r="J11" s="54"/>
      <c r="K11" s="136"/>
      <c r="L11" s="54">
        <v>29.35</v>
      </c>
      <c r="M11" s="54">
        <v>28.57</v>
      </c>
      <c r="N11" s="136">
        <f t="shared" ref="N11" si="8">L11/M11</f>
        <v>1.0273013650682534</v>
      </c>
      <c r="O11" s="133">
        <f>(N11)/1</f>
        <v>1.0273013650682534</v>
      </c>
    </row>
    <row r="12" spans="1:15" ht="16" thickBot="1">
      <c r="A12" s="362" t="s">
        <v>157</v>
      </c>
      <c r="B12" s="362"/>
      <c r="C12" s="362"/>
      <c r="D12" s="52"/>
      <c r="E12" s="52"/>
      <c r="F12" s="52"/>
      <c r="G12" s="52"/>
      <c r="H12" s="52"/>
      <c r="I12" s="52"/>
      <c r="J12" s="52"/>
      <c r="K12" s="52"/>
      <c r="L12" s="52"/>
      <c r="M12" s="52"/>
      <c r="N12" s="52"/>
      <c r="O12" s="143"/>
    </row>
    <row r="13" spans="1:15" ht="16" thickBot="1">
      <c r="A13" s="365" t="s">
        <v>158</v>
      </c>
      <c r="B13" s="366"/>
      <c r="C13" s="366"/>
      <c r="D13" s="366"/>
      <c r="E13" s="366"/>
      <c r="F13" s="366"/>
      <c r="G13" s="366"/>
      <c r="H13" s="366"/>
      <c r="I13" s="58"/>
      <c r="J13" s="58"/>
      <c r="K13" s="58"/>
      <c r="L13" s="130">
        <f>AVERAGE(O4:O11)</f>
        <v>0.97104492641622542</v>
      </c>
      <c r="M13" s="129"/>
      <c r="N13" s="53"/>
    </row>
    <row r="15" spans="1:15">
      <c r="G15" s="27"/>
      <c r="H15" s="27"/>
    </row>
    <row r="19" spans="11:11">
      <c r="K19" s="27"/>
    </row>
  </sheetData>
  <mergeCells count="10">
    <mergeCell ref="A12:C12"/>
    <mergeCell ref="A13:H13"/>
    <mergeCell ref="O1:O3"/>
    <mergeCell ref="C2:E2"/>
    <mergeCell ref="F2:H2"/>
    <mergeCell ref="I2:K2"/>
    <mergeCell ref="L2:N2"/>
    <mergeCell ref="A1:A3"/>
    <mergeCell ref="B1:B3"/>
    <mergeCell ref="C1:N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5F7E-1EA9-4050-81F8-9704ACF0A490}">
  <sheetPr>
    <tabColor rgb="FF92D050"/>
  </sheetPr>
  <dimension ref="A1:O16"/>
  <sheetViews>
    <sheetView showGridLines="0" workbookViewId="0">
      <selection sqref="A1:XFD1048576"/>
    </sheetView>
  </sheetViews>
  <sheetFormatPr baseColWidth="10" defaultColWidth="11.453125" defaultRowHeight="12.5"/>
  <cols>
    <col min="1" max="1" width="5.453125" bestFit="1" customWidth="1"/>
    <col min="2" max="2" width="24"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7" bestFit="1" customWidth="1"/>
    <col min="11" max="11" width="11.26953125" bestFit="1" customWidth="1"/>
    <col min="12" max="12" width="10.453125" bestFit="1" customWidth="1"/>
    <col min="13" max="13" width="6.7265625" bestFit="1" customWidth="1"/>
    <col min="14" max="14" width="11.26953125" bestFit="1" customWidth="1"/>
  </cols>
  <sheetData>
    <row r="1" spans="1:15" ht="12.65" customHeight="1">
      <c r="A1" s="358" t="s">
        <v>143</v>
      </c>
      <c r="B1" s="358" t="s">
        <v>144</v>
      </c>
      <c r="C1" s="363" t="s">
        <v>188</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59"/>
      <c r="B3" s="359"/>
      <c r="C3" s="128" t="s">
        <v>151</v>
      </c>
      <c r="D3" s="128" t="s">
        <v>152</v>
      </c>
      <c r="E3" s="137" t="s">
        <v>153</v>
      </c>
      <c r="F3" s="128" t="s">
        <v>151</v>
      </c>
      <c r="G3" s="128" t="s">
        <v>152</v>
      </c>
      <c r="H3" s="137" t="s">
        <v>153</v>
      </c>
      <c r="I3" s="128" t="s">
        <v>151</v>
      </c>
      <c r="J3" s="128" t="s">
        <v>152</v>
      </c>
      <c r="K3" s="137" t="s">
        <v>153</v>
      </c>
      <c r="L3" s="128" t="s">
        <v>151</v>
      </c>
      <c r="M3" s="128" t="s">
        <v>152</v>
      </c>
      <c r="N3" s="138" t="s">
        <v>153</v>
      </c>
      <c r="O3" s="353"/>
    </row>
    <row r="4" spans="1:15" ht="15.5">
      <c r="A4" s="54">
        <v>1</v>
      </c>
      <c r="B4" s="146" t="s">
        <v>180</v>
      </c>
      <c r="C4" s="134">
        <v>0.35049999999999998</v>
      </c>
      <c r="D4" s="134">
        <v>0.35049999999999998</v>
      </c>
      <c r="E4" s="136">
        <f>C4/D4</f>
        <v>1</v>
      </c>
      <c r="F4" s="134">
        <v>0.42270000000000002</v>
      </c>
      <c r="G4" s="134">
        <v>0.42270000000000002</v>
      </c>
      <c r="H4" s="136">
        <f>F4/G4</f>
        <v>1</v>
      </c>
      <c r="I4" s="140">
        <v>0.67010000000000003</v>
      </c>
      <c r="J4" s="140">
        <v>0.67010000000000003</v>
      </c>
      <c r="K4" s="136">
        <f>I4/J4</f>
        <v>1</v>
      </c>
      <c r="L4" s="142">
        <v>0.88</v>
      </c>
      <c r="M4" s="142">
        <v>0.88</v>
      </c>
      <c r="N4" s="136">
        <f>L4/M4</f>
        <v>1</v>
      </c>
      <c r="O4" s="133">
        <f>(E4+H4+K4+N4)/4</f>
        <v>1</v>
      </c>
    </row>
    <row r="5" spans="1:15" ht="15.5">
      <c r="A5" s="54">
        <v>2</v>
      </c>
      <c r="B5" s="146" t="s">
        <v>182</v>
      </c>
      <c r="C5" s="134">
        <v>0.45400000000000001</v>
      </c>
      <c r="D5" s="134">
        <v>0.45400000000000001</v>
      </c>
      <c r="E5" s="136">
        <f>C5/D5</f>
        <v>1</v>
      </c>
      <c r="F5" s="134">
        <v>0.53800000000000003</v>
      </c>
      <c r="G5" s="134">
        <v>0.55559999999999998</v>
      </c>
      <c r="H5" s="136">
        <f>F5/G5</f>
        <v>0.96832253419726433</v>
      </c>
      <c r="I5" s="140">
        <v>0.68240000000000001</v>
      </c>
      <c r="J5" s="140">
        <v>0.68240000000000001</v>
      </c>
      <c r="K5" s="136">
        <f>I5/J5</f>
        <v>1</v>
      </c>
      <c r="L5" s="142">
        <v>0.70809999999999995</v>
      </c>
      <c r="M5" s="142">
        <v>0.70809999999999995</v>
      </c>
      <c r="N5" s="136">
        <f t="shared" ref="N5:N8" si="0">L5/M5</f>
        <v>1</v>
      </c>
      <c r="O5" s="133">
        <f t="shared" ref="O5" si="1">(E5+H5+K5+N5)/4</f>
        <v>0.99208063354931608</v>
      </c>
    </row>
    <row r="6" spans="1:15" ht="15.5">
      <c r="A6" s="54">
        <v>3</v>
      </c>
      <c r="B6" s="146" t="s">
        <v>189</v>
      </c>
      <c r="C6" s="165"/>
      <c r="D6" s="134"/>
      <c r="E6" s="136"/>
      <c r="F6" s="165">
        <v>0.36309999999999998</v>
      </c>
      <c r="G6" s="134">
        <v>0.36249999999999999</v>
      </c>
      <c r="H6" s="136">
        <f>F6/G6</f>
        <v>1.001655172413793</v>
      </c>
      <c r="I6" s="132">
        <v>0.61619999999999997</v>
      </c>
      <c r="J6" s="132">
        <v>0.60619999999999996</v>
      </c>
      <c r="K6" s="136">
        <f>I6/J6</f>
        <v>1.0164962058726492</v>
      </c>
      <c r="L6" s="142">
        <v>0.70799999999999996</v>
      </c>
      <c r="M6" s="142">
        <v>0.70799999999999996</v>
      </c>
      <c r="N6" s="136">
        <f t="shared" si="0"/>
        <v>1</v>
      </c>
      <c r="O6" s="133">
        <f>(E6+H6+K6+N6)/3</f>
        <v>1.006050459428814</v>
      </c>
    </row>
    <row r="7" spans="1:15" ht="15.5">
      <c r="A7" s="54">
        <v>4</v>
      </c>
      <c r="B7" s="146" t="s">
        <v>190</v>
      </c>
      <c r="C7" s="134"/>
      <c r="D7" s="134"/>
      <c r="E7" s="136"/>
      <c r="F7" s="134"/>
      <c r="G7" s="134"/>
      <c r="H7" s="136"/>
      <c r="I7" s="142"/>
      <c r="J7" s="142"/>
      <c r="K7" s="136"/>
      <c r="L7" s="142">
        <v>0.51580000000000004</v>
      </c>
      <c r="M7" s="142">
        <v>0.503</v>
      </c>
      <c r="N7" s="136">
        <f t="shared" si="0"/>
        <v>1.0254473161033797</v>
      </c>
      <c r="O7" s="133">
        <f>(E7+H7+K7+N7)/1</f>
        <v>1.0254473161033797</v>
      </c>
    </row>
    <row r="8" spans="1:15" ht="15.5">
      <c r="A8" s="54">
        <v>5</v>
      </c>
      <c r="B8" s="146" t="s">
        <v>191</v>
      </c>
      <c r="C8" s="165"/>
      <c r="D8" s="141"/>
      <c r="E8" s="136"/>
      <c r="F8" s="165"/>
      <c r="G8" s="141"/>
      <c r="H8" s="136"/>
      <c r="I8" s="132">
        <v>0.1193</v>
      </c>
      <c r="J8" s="132">
        <v>0.1193</v>
      </c>
      <c r="K8" s="136">
        <f t="shared" ref="K8" si="2">I8/J8</f>
        <v>1</v>
      </c>
      <c r="L8" s="54">
        <v>26.61</v>
      </c>
      <c r="M8" s="54">
        <v>27.52</v>
      </c>
      <c r="N8" s="136">
        <f t="shared" si="0"/>
        <v>0.96693313953488369</v>
      </c>
      <c r="O8" s="133">
        <f>(E8+H8+K8+N8)/2</f>
        <v>0.98346656976744184</v>
      </c>
    </row>
    <row r="9" spans="1:15" ht="16" thickBot="1">
      <c r="A9" s="362" t="s">
        <v>157</v>
      </c>
      <c r="B9" s="362"/>
      <c r="C9" s="362"/>
      <c r="D9" s="52"/>
      <c r="E9" s="52"/>
      <c r="F9" s="52"/>
      <c r="G9" s="52"/>
      <c r="H9" s="52"/>
      <c r="I9" s="52"/>
      <c r="J9" s="52"/>
      <c r="K9" s="52"/>
      <c r="L9" s="52"/>
      <c r="M9" s="52"/>
      <c r="N9" s="52"/>
      <c r="O9" s="143"/>
    </row>
    <row r="10" spans="1:15" ht="16" thickBot="1">
      <c r="A10" s="365" t="s">
        <v>158</v>
      </c>
      <c r="B10" s="366"/>
      <c r="C10" s="366"/>
      <c r="D10" s="366"/>
      <c r="E10" s="366"/>
      <c r="F10" s="366"/>
      <c r="G10" s="366"/>
      <c r="H10" s="366"/>
      <c r="I10" s="58"/>
      <c r="J10" s="58"/>
      <c r="K10" s="58"/>
      <c r="L10" s="130">
        <f>AVERAGE(O4:O8)</f>
        <v>1.0014089957697903</v>
      </c>
      <c r="M10" s="129"/>
      <c r="N10" s="53"/>
    </row>
    <row r="12" spans="1:15">
      <c r="G12" s="27"/>
      <c r="H12" s="27"/>
    </row>
    <row r="16" spans="1:15">
      <c r="K16" s="27"/>
    </row>
  </sheetData>
  <mergeCells count="10">
    <mergeCell ref="A9:C9"/>
    <mergeCell ref="A10:H10"/>
    <mergeCell ref="A1:A3"/>
    <mergeCell ref="B1:B3"/>
    <mergeCell ref="C1:N1"/>
    <mergeCell ref="O1:O3"/>
    <mergeCell ref="C2:E2"/>
    <mergeCell ref="F2:H2"/>
    <mergeCell ref="I2:K2"/>
    <mergeCell ref="L2:N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611FD-A53E-49D9-BA2E-E4B44439DA5B}">
  <sheetPr>
    <tabColor rgb="FF92D050"/>
  </sheetPr>
  <dimension ref="A1:O17"/>
  <sheetViews>
    <sheetView showGridLines="0" topLeftCell="A3" workbookViewId="0">
      <selection activeCell="O9" sqref="O9"/>
    </sheetView>
  </sheetViews>
  <sheetFormatPr baseColWidth="10" defaultColWidth="11.453125" defaultRowHeight="12.5"/>
  <cols>
    <col min="1" max="1" width="5.453125" bestFit="1" customWidth="1"/>
    <col min="2" max="2" width="24"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7" bestFit="1" customWidth="1"/>
    <col min="11" max="11" width="11.26953125" bestFit="1" customWidth="1"/>
    <col min="12" max="12" width="10.453125" bestFit="1" customWidth="1"/>
    <col min="13" max="13" width="6.7265625" bestFit="1" customWidth="1"/>
    <col min="14" max="14" width="11.26953125" bestFit="1" customWidth="1"/>
  </cols>
  <sheetData>
    <row r="1" spans="1:15" ht="12.65" customHeight="1">
      <c r="A1" s="358" t="s">
        <v>143</v>
      </c>
      <c r="B1" s="358" t="s">
        <v>144</v>
      </c>
      <c r="C1" s="363" t="s">
        <v>192</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59"/>
      <c r="B3" s="359"/>
      <c r="C3" s="128" t="s">
        <v>151</v>
      </c>
      <c r="D3" s="128" t="s">
        <v>152</v>
      </c>
      <c r="E3" s="137" t="s">
        <v>153</v>
      </c>
      <c r="F3" s="128" t="s">
        <v>151</v>
      </c>
      <c r="G3" s="128" t="s">
        <v>152</v>
      </c>
      <c r="H3" s="137" t="s">
        <v>153</v>
      </c>
      <c r="I3" s="128" t="s">
        <v>151</v>
      </c>
      <c r="J3" s="128" t="s">
        <v>152</v>
      </c>
      <c r="K3" s="137" t="s">
        <v>153</v>
      </c>
      <c r="L3" s="128" t="s">
        <v>151</v>
      </c>
      <c r="M3" s="128" t="s">
        <v>152</v>
      </c>
      <c r="N3" s="138" t="s">
        <v>153</v>
      </c>
      <c r="O3" s="353"/>
    </row>
    <row r="4" spans="1:15" ht="15.5">
      <c r="A4" s="54">
        <v>1</v>
      </c>
      <c r="B4" s="146" t="s">
        <v>180</v>
      </c>
      <c r="C4" s="134">
        <v>0.93859999999999999</v>
      </c>
      <c r="D4" s="134">
        <v>0.93859999999999999</v>
      </c>
      <c r="E4" s="136">
        <f>C4/D4</f>
        <v>1</v>
      </c>
      <c r="F4" s="134"/>
      <c r="G4" s="134"/>
      <c r="H4" s="136"/>
      <c r="I4" s="140"/>
      <c r="J4" s="140"/>
      <c r="K4" s="136"/>
      <c r="L4" s="142"/>
      <c r="M4" s="142"/>
      <c r="N4" s="136"/>
      <c r="O4" s="133">
        <f>(E4+H4+K4+N4)/1</f>
        <v>1</v>
      </c>
    </row>
    <row r="5" spans="1:15" ht="15.5">
      <c r="A5" s="54">
        <v>2</v>
      </c>
      <c r="B5" s="146" t="s">
        <v>182</v>
      </c>
      <c r="C5" s="134">
        <v>0.89729999999999999</v>
      </c>
      <c r="D5" s="134">
        <v>0.88649999999999995</v>
      </c>
      <c r="E5" s="136">
        <f>C5/D5</f>
        <v>1.0121827411167512</v>
      </c>
      <c r="F5" s="134"/>
      <c r="G5" s="134"/>
      <c r="H5" s="136"/>
      <c r="I5" s="140"/>
      <c r="J5" s="140"/>
      <c r="K5" s="136"/>
      <c r="L5" s="142"/>
      <c r="M5" s="142"/>
      <c r="N5" s="136"/>
      <c r="O5" s="133">
        <f t="shared" ref="O5:O6" si="0">(E5+H5+K5+N5)/1</f>
        <v>1.0121827411167512</v>
      </c>
    </row>
    <row r="6" spans="1:15" ht="15.5">
      <c r="A6" s="54">
        <v>3</v>
      </c>
      <c r="B6" s="146" t="s">
        <v>189</v>
      </c>
      <c r="C6" s="165">
        <v>0.88759999999999994</v>
      </c>
      <c r="D6" s="134">
        <v>0.91239999999999999</v>
      </c>
      <c r="E6" s="136">
        <f>C6/D6</f>
        <v>0.97281893906181494</v>
      </c>
      <c r="F6" s="165"/>
      <c r="G6" s="134"/>
      <c r="H6" s="136"/>
      <c r="I6" s="132"/>
      <c r="J6" s="132"/>
      <c r="K6" s="136"/>
      <c r="L6" s="142"/>
      <c r="M6" s="142"/>
      <c r="N6" s="136"/>
      <c r="O6" s="133">
        <f t="shared" si="0"/>
        <v>0.97281893906181494</v>
      </c>
    </row>
    <row r="7" spans="1:15" ht="15.5">
      <c r="A7" s="54">
        <v>4</v>
      </c>
      <c r="B7" s="146" t="s">
        <v>190</v>
      </c>
      <c r="C7" s="134">
        <v>0.70299999999999996</v>
      </c>
      <c r="D7" s="134">
        <v>0.70299999999999996</v>
      </c>
      <c r="E7" s="136">
        <f>C7/D7</f>
        <v>1</v>
      </c>
      <c r="F7" s="134">
        <v>0.86670000000000003</v>
      </c>
      <c r="G7" s="134">
        <v>0.86670000000000003</v>
      </c>
      <c r="H7" s="136">
        <f>F7/G7</f>
        <v>1</v>
      </c>
      <c r="I7" s="142"/>
      <c r="J7" s="142"/>
      <c r="K7" s="136"/>
      <c r="L7" s="142"/>
      <c r="M7" s="142"/>
      <c r="N7" s="136"/>
      <c r="O7" s="133">
        <f>(E7+H7+K7+N7)/2</f>
        <v>1</v>
      </c>
    </row>
    <row r="8" spans="1:15" ht="15.5">
      <c r="A8" s="54">
        <v>5</v>
      </c>
      <c r="B8" s="146" t="s">
        <v>191</v>
      </c>
      <c r="C8" s="165">
        <v>0.46789999999999998</v>
      </c>
      <c r="D8" s="141">
        <v>0.46789999999999998</v>
      </c>
      <c r="E8" s="136">
        <f>C8/D8</f>
        <v>1</v>
      </c>
      <c r="F8" s="165">
        <v>0.7238</v>
      </c>
      <c r="G8" s="141">
        <v>0.7238</v>
      </c>
      <c r="H8" s="136">
        <f>F8/G8</f>
        <v>1</v>
      </c>
      <c r="I8" s="132"/>
      <c r="J8" s="132"/>
      <c r="K8" s="136"/>
      <c r="L8" s="54"/>
      <c r="M8" s="54"/>
      <c r="N8" s="136"/>
      <c r="O8" s="133">
        <f>(E8+H8+K8+N8)/2</f>
        <v>1</v>
      </c>
    </row>
    <row r="9" spans="1:15" ht="15.5">
      <c r="A9" s="54">
        <v>6</v>
      </c>
      <c r="B9" s="146" t="s">
        <v>193</v>
      </c>
      <c r="C9" s="165"/>
      <c r="D9" s="141"/>
      <c r="E9" s="136"/>
      <c r="F9" s="165">
        <v>0.42530000000000001</v>
      </c>
      <c r="G9" s="141">
        <v>0.47470000000000001</v>
      </c>
      <c r="H9" s="136">
        <f>F9/G9</f>
        <v>0.8959342742784917</v>
      </c>
      <c r="I9" s="132"/>
      <c r="J9" s="132"/>
      <c r="K9" s="136"/>
      <c r="L9" s="54"/>
      <c r="M9" s="54"/>
      <c r="N9" s="136"/>
      <c r="O9" s="133">
        <f>(E9+H9+K9+N9)/1</f>
        <v>0.8959342742784917</v>
      </c>
    </row>
    <row r="10" spans="1:15" ht="16" thickBot="1">
      <c r="A10" s="362" t="s">
        <v>157</v>
      </c>
      <c r="B10" s="362"/>
      <c r="C10" s="362"/>
      <c r="D10" s="52"/>
      <c r="E10" s="52"/>
      <c r="F10" s="52"/>
      <c r="G10" s="52"/>
      <c r="H10" s="52"/>
      <c r="I10" s="52"/>
      <c r="J10" s="52"/>
      <c r="K10" s="52"/>
      <c r="L10" s="52"/>
      <c r="M10" s="52"/>
      <c r="N10" s="52"/>
      <c r="O10" s="143"/>
    </row>
    <row r="11" spans="1:15" ht="16" thickBot="1">
      <c r="A11" s="365" t="s">
        <v>158</v>
      </c>
      <c r="B11" s="366"/>
      <c r="C11" s="366"/>
      <c r="D11" s="366"/>
      <c r="E11" s="366"/>
      <c r="F11" s="366"/>
      <c r="G11" s="366"/>
      <c r="H11" s="366"/>
      <c r="I11" s="58"/>
      <c r="J11" s="58"/>
      <c r="K11" s="58"/>
      <c r="L11" s="130">
        <f>AVERAGE(O4:O9)</f>
        <v>0.98015599240950968</v>
      </c>
      <c r="M11" s="129"/>
      <c r="N11" s="53"/>
    </row>
    <row r="13" spans="1:15">
      <c r="G13" s="27"/>
      <c r="H13" s="27"/>
    </row>
    <row r="17" spans="11:11">
      <c r="K17" s="27"/>
    </row>
  </sheetData>
  <mergeCells count="10">
    <mergeCell ref="O1:O3"/>
    <mergeCell ref="C2:E2"/>
    <mergeCell ref="F2:H2"/>
    <mergeCell ref="I2:K2"/>
    <mergeCell ref="L2:N2"/>
    <mergeCell ref="A10:C10"/>
    <mergeCell ref="A11:H11"/>
    <mergeCell ref="A1:A3"/>
    <mergeCell ref="B1:B3"/>
    <mergeCell ref="C1:N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6222E-77BD-454C-A235-C39FC51D744C}">
  <sheetPr>
    <tabColor rgb="FF92D050"/>
  </sheetPr>
  <dimension ref="A1:O12"/>
  <sheetViews>
    <sheetView showGridLines="0" workbookViewId="0">
      <selection sqref="A1:XFD1048576"/>
    </sheetView>
  </sheetViews>
  <sheetFormatPr baseColWidth="10" defaultColWidth="11.453125" defaultRowHeight="12.5"/>
  <cols>
    <col min="1" max="1" width="5.453125" bestFit="1" customWidth="1"/>
    <col min="2" max="2" width="24"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7" bestFit="1" customWidth="1"/>
    <col min="11" max="11" width="11.26953125" bestFit="1" customWidth="1"/>
    <col min="12" max="12" width="10.453125" bestFit="1" customWidth="1"/>
    <col min="13" max="13" width="6.7265625" bestFit="1" customWidth="1"/>
    <col min="14" max="14" width="11.26953125" bestFit="1" customWidth="1"/>
  </cols>
  <sheetData>
    <row r="1" spans="1:15" ht="12.65" customHeight="1">
      <c r="A1" s="358" t="s">
        <v>143</v>
      </c>
      <c r="B1" s="358" t="s">
        <v>144</v>
      </c>
      <c r="C1" s="363" t="s">
        <v>194</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59"/>
      <c r="B3" s="359"/>
      <c r="C3" s="128" t="s">
        <v>151</v>
      </c>
      <c r="D3" s="128" t="s">
        <v>152</v>
      </c>
      <c r="E3" s="137" t="s">
        <v>153</v>
      </c>
      <c r="F3" s="128" t="s">
        <v>151</v>
      </c>
      <c r="G3" s="128" t="s">
        <v>152</v>
      </c>
      <c r="H3" s="137" t="s">
        <v>153</v>
      </c>
      <c r="I3" s="128" t="s">
        <v>151</v>
      </c>
      <c r="J3" s="128" t="s">
        <v>152</v>
      </c>
      <c r="K3" s="137" t="s">
        <v>153</v>
      </c>
      <c r="L3" s="128" t="s">
        <v>151</v>
      </c>
      <c r="M3" s="128" t="s">
        <v>152</v>
      </c>
      <c r="N3" s="138" t="s">
        <v>153</v>
      </c>
      <c r="O3" s="353"/>
    </row>
    <row r="4" spans="1:15" ht="15.5">
      <c r="A4" s="54">
        <v>1</v>
      </c>
      <c r="B4" s="146" t="s">
        <v>195</v>
      </c>
      <c r="C4" s="134"/>
      <c r="D4" s="134"/>
      <c r="E4" s="136" t="e">
        <f>C4/D4</f>
        <v>#DIV/0!</v>
      </c>
      <c r="F4" s="134"/>
      <c r="G4" s="134"/>
      <c r="H4" s="136"/>
      <c r="I4" s="140">
        <v>5.7299999999999997E-2</v>
      </c>
      <c r="J4" s="140">
        <v>5.7299999999999997E-2</v>
      </c>
      <c r="K4" s="136">
        <f>I4/J4</f>
        <v>1</v>
      </c>
      <c r="L4" s="142">
        <v>0.26900000000000002</v>
      </c>
      <c r="M4" s="142">
        <v>0.26900000000000002</v>
      </c>
      <c r="N4" s="136">
        <f>L4/M4</f>
        <v>1</v>
      </c>
      <c r="O4" s="133">
        <f>(K4+N4)/2</f>
        <v>1</v>
      </c>
    </row>
    <row r="5" spans="1:15" ht="16" thickBot="1">
      <c r="A5" s="362" t="s">
        <v>157</v>
      </c>
      <c r="B5" s="362"/>
      <c r="C5" s="362"/>
      <c r="D5" s="52"/>
      <c r="E5" s="52"/>
      <c r="F5" s="52"/>
      <c r="G5" s="52"/>
      <c r="H5" s="52"/>
      <c r="I5" s="52"/>
      <c r="J5" s="52"/>
      <c r="K5" s="52"/>
      <c r="L5" s="52"/>
      <c r="M5" s="52"/>
      <c r="N5" s="52"/>
      <c r="O5" s="143"/>
    </row>
    <row r="6" spans="1:15" ht="16" thickBot="1">
      <c r="A6" s="365" t="s">
        <v>158</v>
      </c>
      <c r="B6" s="366"/>
      <c r="C6" s="366"/>
      <c r="D6" s="366"/>
      <c r="E6" s="366"/>
      <c r="F6" s="366"/>
      <c r="G6" s="366"/>
      <c r="H6" s="366"/>
      <c r="I6" s="58"/>
      <c r="J6" s="58"/>
      <c r="K6" s="58"/>
      <c r="L6" s="130">
        <f>AVERAGE(O4:O4)</f>
        <v>1</v>
      </c>
      <c r="M6" s="129"/>
      <c r="N6" s="53"/>
    </row>
    <row r="8" spans="1:15">
      <c r="G8" s="27"/>
      <c r="H8" s="27"/>
    </row>
    <row r="12" spans="1:15">
      <c r="K12" s="27"/>
    </row>
  </sheetData>
  <mergeCells count="10">
    <mergeCell ref="O1:O3"/>
    <mergeCell ref="C2:E2"/>
    <mergeCell ref="F2:H2"/>
    <mergeCell ref="I2:K2"/>
    <mergeCell ref="L2:N2"/>
    <mergeCell ref="A5:C5"/>
    <mergeCell ref="A6:H6"/>
    <mergeCell ref="A1:A3"/>
    <mergeCell ref="B1:B3"/>
    <mergeCell ref="C1:N1"/>
  </mergeCells>
  <phoneticPr fontId="43"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87A4-7304-424B-AB8C-95A521E12BC1}">
  <sheetPr>
    <tabColor rgb="FF92D050"/>
  </sheetPr>
  <dimension ref="A1:O14"/>
  <sheetViews>
    <sheetView showGridLines="0" tabSelected="1" workbookViewId="0">
      <selection activeCell="I6" sqref="I6:J6"/>
    </sheetView>
  </sheetViews>
  <sheetFormatPr baseColWidth="10" defaultColWidth="11.453125" defaultRowHeight="12.5"/>
  <cols>
    <col min="1" max="1" width="5.453125" bestFit="1" customWidth="1"/>
    <col min="2" max="2" width="24" bestFit="1" customWidth="1"/>
    <col min="3" max="3" width="10.1796875" bestFit="1" customWidth="1"/>
    <col min="4" max="4" width="9.81640625" bestFit="1" customWidth="1"/>
    <col min="5" max="5" width="11.26953125" bestFit="1" customWidth="1"/>
    <col min="6" max="7" width="8.81640625" bestFit="1" customWidth="1"/>
    <col min="8" max="8" width="11.26953125" bestFit="1" customWidth="1"/>
    <col min="9" max="10" width="7" bestFit="1" customWidth="1"/>
    <col min="11" max="11" width="11.26953125" bestFit="1" customWidth="1"/>
    <col min="12" max="12" width="10.453125" bestFit="1" customWidth="1"/>
    <col min="13" max="13" width="6.7265625" bestFit="1" customWidth="1"/>
    <col min="14" max="14" width="11.26953125" bestFit="1" customWidth="1"/>
  </cols>
  <sheetData>
    <row r="1" spans="1:15" ht="12.65" customHeight="1">
      <c r="A1" s="358" t="s">
        <v>143</v>
      </c>
      <c r="B1" s="358" t="s">
        <v>144</v>
      </c>
      <c r="C1" s="363" t="s">
        <v>194</v>
      </c>
      <c r="D1" s="364"/>
      <c r="E1" s="364"/>
      <c r="F1" s="364"/>
      <c r="G1" s="364"/>
      <c r="H1" s="364"/>
      <c r="I1" s="364"/>
      <c r="J1" s="364"/>
      <c r="K1" s="364"/>
      <c r="L1" s="364"/>
      <c r="M1" s="364"/>
      <c r="N1" s="364"/>
      <c r="O1" s="352" t="s">
        <v>146</v>
      </c>
    </row>
    <row r="2" spans="1:15" ht="12.65" customHeight="1">
      <c r="A2" s="359"/>
      <c r="B2" s="361"/>
      <c r="C2" s="355" t="s">
        <v>147</v>
      </c>
      <c r="D2" s="356"/>
      <c r="E2" s="357"/>
      <c r="F2" s="355" t="s">
        <v>148</v>
      </c>
      <c r="G2" s="356"/>
      <c r="H2" s="357"/>
      <c r="I2" s="355" t="s">
        <v>149</v>
      </c>
      <c r="J2" s="356"/>
      <c r="K2" s="357"/>
      <c r="L2" s="355" t="s">
        <v>150</v>
      </c>
      <c r="M2" s="356"/>
      <c r="N2" s="356"/>
      <c r="O2" s="353"/>
    </row>
    <row r="3" spans="1:15" ht="31">
      <c r="A3" s="359"/>
      <c r="B3" s="359"/>
      <c r="C3" s="128" t="s">
        <v>151</v>
      </c>
      <c r="D3" s="128" t="s">
        <v>152</v>
      </c>
      <c r="E3" s="137" t="s">
        <v>153</v>
      </c>
      <c r="F3" s="128" t="s">
        <v>151</v>
      </c>
      <c r="G3" s="128" t="s">
        <v>152</v>
      </c>
      <c r="H3" s="137" t="s">
        <v>153</v>
      </c>
      <c r="I3" s="128" t="s">
        <v>151</v>
      </c>
      <c r="J3" s="128" t="s">
        <v>152</v>
      </c>
      <c r="K3" s="137" t="s">
        <v>153</v>
      </c>
      <c r="L3" s="128" t="s">
        <v>151</v>
      </c>
      <c r="M3" s="128" t="s">
        <v>152</v>
      </c>
      <c r="N3" s="138" t="s">
        <v>153</v>
      </c>
      <c r="O3" s="353"/>
    </row>
    <row r="4" spans="1:15" ht="15.5">
      <c r="A4" s="54">
        <v>1</v>
      </c>
      <c r="B4" s="146" t="s">
        <v>195</v>
      </c>
      <c r="C4" s="134"/>
      <c r="D4" s="134"/>
      <c r="E4" s="136" t="e">
        <f>C4/D4</f>
        <v>#DIV/0!</v>
      </c>
      <c r="F4" s="134"/>
      <c r="G4" s="134"/>
      <c r="H4" s="136" t="e">
        <f t="shared" ref="H4:H6" si="0">F4/G4</f>
        <v>#DIV/0!</v>
      </c>
      <c r="I4" s="140"/>
      <c r="J4" s="140"/>
      <c r="K4" s="136" t="e">
        <f>I4/J4</f>
        <v>#DIV/0!</v>
      </c>
      <c r="L4" s="142">
        <v>0.88929999999999998</v>
      </c>
      <c r="M4" s="142">
        <v>0.88929999999999998</v>
      </c>
      <c r="N4" s="136">
        <f>L4/M4</f>
        <v>1</v>
      </c>
      <c r="O4" s="133" t="e">
        <f>(K4+N4)/2</f>
        <v>#DIV/0!</v>
      </c>
    </row>
    <row r="5" spans="1:15" ht="15.5">
      <c r="A5" s="54">
        <v>1</v>
      </c>
      <c r="B5" s="146" t="s">
        <v>196</v>
      </c>
      <c r="C5" s="134"/>
      <c r="D5" s="134"/>
      <c r="E5" s="136" t="e">
        <f t="shared" ref="E5:E6" si="1">C5/D5</f>
        <v>#DIV/0!</v>
      </c>
      <c r="F5" s="134"/>
      <c r="G5" s="134"/>
      <c r="H5" s="136" t="e">
        <f t="shared" si="0"/>
        <v>#DIV/0!</v>
      </c>
      <c r="I5" s="140"/>
      <c r="J5" s="140"/>
      <c r="K5" s="136" t="e">
        <f t="shared" ref="K5:K6" si="2">I5/J5</f>
        <v>#DIV/0!</v>
      </c>
      <c r="L5" s="142">
        <v>0.2717</v>
      </c>
      <c r="M5" s="142">
        <v>0.2009</v>
      </c>
      <c r="N5" s="136">
        <f t="shared" ref="N5:N6" si="3">L5/M5</f>
        <v>1.3524141363862618</v>
      </c>
      <c r="O5" s="133" t="e">
        <f t="shared" ref="O5:O6" si="4">(K5+N5)/2</f>
        <v>#DIV/0!</v>
      </c>
    </row>
    <row r="6" spans="1:15" ht="15.5">
      <c r="A6" s="54">
        <v>1</v>
      </c>
      <c r="B6" s="146" t="s">
        <v>197</v>
      </c>
      <c r="C6" s="134"/>
      <c r="D6" s="134"/>
      <c r="E6" s="136" t="e">
        <f>C6/D6</f>
        <v>#DIV/0!</v>
      </c>
      <c r="F6" s="134"/>
      <c r="G6" s="134"/>
      <c r="H6" s="136" t="e">
        <f t="shared" ref="H6" si="5">F6/G6</f>
        <v>#DIV/0!</v>
      </c>
      <c r="I6" s="140"/>
      <c r="J6" s="140"/>
      <c r="K6" s="136" t="e">
        <f>I6/J6</f>
        <v>#DIV/0!</v>
      </c>
      <c r="L6" s="142">
        <v>0.60699999999999998</v>
      </c>
      <c r="M6" s="142">
        <v>0.71930000000000005</v>
      </c>
      <c r="N6" s="136">
        <f>L6/M6</f>
        <v>0.84387599054636442</v>
      </c>
      <c r="O6" s="133" t="e">
        <f t="shared" si="4"/>
        <v>#DIV/0!</v>
      </c>
    </row>
    <row r="7" spans="1:15" ht="16" thickBot="1">
      <c r="A7" s="362" t="s">
        <v>157</v>
      </c>
      <c r="B7" s="362"/>
      <c r="C7" s="362"/>
      <c r="D7" s="52"/>
      <c r="E7" s="52"/>
      <c r="F7" s="52"/>
      <c r="G7" s="52"/>
      <c r="H7" s="52"/>
      <c r="I7" s="52"/>
      <c r="J7" s="52"/>
      <c r="K7" s="52"/>
      <c r="L7" s="52"/>
      <c r="M7" s="52"/>
      <c r="N7" s="52"/>
      <c r="O7" s="143"/>
    </row>
    <row r="8" spans="1:15" ht="16" thickBot="1">
      <c r="A8" s="365" t="s">
        <v>158</v>
      </c>
      <c r="B8" s="366"/>
      <c r="C8" s="366"/>
      <c r="D8" s="366"/>
      <c r="E8" s="366"/>
      <c r="F8" s="366"/>
      <c r="G8" s="366"/>
      <c r="H8" s="366"/>
      <c r="I8" s="58"/>
      <c r="J8" s="58"/>
      <c r="K8" s="58"/>
      <c r="L8" s="130" t="e">
        <f>AVERAGE(O4:O4)</f>
        <v>#DIV/0!</v>
      </c>
      <c r="M8" s="129"/>
      <c r="N8" s="53"/>
    </row>
    <row r="10" spans="1:15">
      <c r="G10" s="27"/>
      <c r="H10" s="27"/>
    </row>
    <row r="14" spans="1:15">
      <c r="K14" s="27"/>
    </row>
  </sheetData>
  <mergeCells count="10">
    <mergeCell ref="A7:C7"/>
    <mergeCell ref="A8:H8"/>
    <mergeCell ref="A1:A3"/>
    <mergeCell ref="B1:B3"/>
    <mergeCell ref="C1:N1"/>
    <mergeCell ref="O1:O3"/>
    <mergeCell ref="C2:E2"/>
    <mergeCell ref="F2:H2"/>
    <mergeCell ref="I2:K2"/>
    <mergeCell ref="L2:N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718bc8-7c02-4167-9d55-3bfee31cf150" xsi:nil="true"/>
    <lcf76f155ced4ddcb4097134ff3c332f xmlns="b1ba3065-7f0a-4415-ac29-a8c73a1cf533">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059208197157644B01C2844AC97171D" ma:contentTypeVersion="19" ma:contentTypeDescription="Crear nuevo documento." ma:contentTypeScope="" ma:versionID="bc7cbb1fcb72d5f8b05e87c8ce859221">
  <xsd:schema xmlns:xsd="http://www.w3.org/2001/XMLSchema" xmlns:xs="http://www.w3.org/2001/XMLSchema" xmlns:p="http://schemas.microsoft.com/office/2006/metadata/properties" xmlns:ns1="http://schemas.microsoft.com/sharepoint/v3" xmlns:ns2="b1ba3065-7f0a-4415-ac29-a8c73a1cf533" xmlns:ns3="94718bc8-7c02-4167-9d55-3bfee31cf150" targetNamespace="http://schemas.microsoft.com/office/2006/metadata/properties" ma:root="true" ma:fieldsID="46a6125fa971abd06a31b704fa990b4c" ns1:_="" ns2:_="" ns3:_="">
    <xsd:import namespace="http://schemas.microsoft.com/sharepoint/v3"/>
    <xsd:import namespace="b1ba3065-7f0a-4415-ac29-a8c73a1cf533"/>
    <xsd:import namespace="94718bc8-7c02-4167-9d55-3bfee31cf15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Propiedades de la Directiva de cumplimiento unificado" ma:hidden="true" ma:internalName="_ip_UnifiedCompliancePolicyProperties">
      <xsd:simpleType>
        <xsd:restriction base="dms:Note"/>
      </xsd:simpleType>
    </xsd:element>
    <xsd:element name="_ip_UnifiedCompliancePolicyUIAction" ma:index="26"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ba3065-7f0a-4415-ac29-a8c73a1cf5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98999269-020c-4dd0-84de-6e6b95cd4d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18bc8-7c02-4167-9d55-3bfee31cf150"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c19bce89-9f07-49d5-9634-c72c59d4ca9b}" ma:internalName="TaxCatchAll" ma:showField="CatchAllData" ma:web="94718bc8-7c02-4167-9d55-3bfee31cf1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0AA209-1459-4248-BF5B-575784B589B7}">
  <ds:schemaRefs>
    <ds:schemaRef ds:uri="http://schemas.microsoft.com/office/2006/metadata/properties"/>
    <ds:schemaRef ds:uri="http://schemas.microsoft.com/office/infopath/2007/PartnerControls"/>
    <ds:schemaRef ds:uri="2cda19dd-e05a-4216-9928-dde66945e473"/>
    <ds:schemaRef ds:uri="dd74fca9-f6ca-4613-9ed6-f04f800432bf"/>
  </ds:schemaRefs>
</ds:datastoreItem>
</file>

<file path=customXml/itemProps2.xml><?xml version="1.0" encoding="utf-8"?>
<ds:datastoreItem xmlns:ds="http://schemas.openxmlformats.org/officeDocument/2006/customXml" ds:itemID="{2B4546BD-C64A-451A-9113-BD7575B476D9}">
  <ds:schemaRefs>
    <ds:schemaRef ds:uri="http://schemas.microsoft.com/sharepoint/v3/contenttype/forms"/>
  </ds:schemaRefs>
</ds:datastoreItem>
</file>

<file path=customXml/itemProps3.xml><?xml version="1.0" encoding="utf-8"?>
<ds:datastoreItem xmlns:ds="http://schemas.openxmlformats.org/officeDocument/2006/customXml" ds:itemID="{25805C4D-B519-4439-A9A0-37F892F606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4</vt:i4>
      </vt:variant>
    </vt:vector>
  </HeadingPairs>
  <TitlesOfParts>
    <vt:vector size="19" baseType="lpstr">
      <vt:lpstr>NORMALIZACION - CRONOGRAMAS</vt:lpstr>
      <vt:lpstr>BALANCE SCORE CARD -BSC</vt:lpstr>
      <vt:lpstr>PLANIFICACIÓN OBJETIVO</vt:lpstr>
      <vt:lpstr>Evidencia - Enero</vt:lpstr>
      <vt:lpstr>Evidencia - Febrero</vt:lpstr>
      <vt:lpstr>Evidencia - Marzo</vt:lpstr>
      <vt:lpstr>Evidencia - Abril</vt:lpstr>
      <vt:lpstr>Evidencia - Mayo</vt:lpstr>
      <vt:lpstr>Evidencia - Junio</vt:lpstr>
      <vt:lpstr>Evidencia - Julio</vt:lpstr>
      <vt:lpstr>Evidencia - Agosto</vt:lpstr>
      <vt:lpstr>Evidencia - Setiembre</vt:lpstr>
      <vt:lpstr>Evidencia - Octubre</vt:lpstr>
      <vt:lpstr>Evidencia - Noviembre</vt:lpstr>
      <vt:lpstr>Evidencia - Diciembre</vt:lpstr>
      <vt:lpstr>'BALANCE SCORE CARD -BSC'!Área_de_impresión</vt:lpstr>
      <vt:lpstr>'NORMALIZACION - CRONOGRAMAS'!Área_de_impresión</vt:lpstr>
      <vt:lpstr>'PLANIFICACIÓN OBJETIVO'!Área_de_impresión</vt:lpstr>
      <vt:lpstr>'PLANIFICACIÓN OBJETIVO'!Títulos_a_imprimir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SPC02-F03 - Normalizacion de Indicadores</dc:title>
  <dc:subject>SPC02-P03 - Definicion, Normalizacion y Reporte de Indicadores de Gestion</dc:subject>
  <dc:creator>Henry Cabanillas</dc:creator>
  <cp:keywords>Formato</cp:keywords>
  <dc:description/>
  <cp:lastModifiedBy>Mercedes Prado Barrantes</cp:lastModifiedBy>
  <cp:revision/>
  <dcterms:created xsi:type="dcterms:W3CDTF">2011-04-01T16:51:29Z</dcterms:created>
  <dcterms:modified xsi:type="dcterms:W3CDTF">2026-01-05T19:30:28Z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3f0ff520-bde6-42d2-b65f-8a94097f5cb3</vt:lpwstr>
  </property>
  <property fmtid="{D5CDD505-2E9C-101B-9397-08002B2CF9AE}" pid="3" name="ContentTypeId">
    <vt:lpwstr>0x0101005059208197157644B01C2844AC97171D</vt:lpwstr>
  </property>
  <property fmtid="{D5CDD505-2E9C-101B-9397-08002B2CF9AE}" pid="4" name="Order">
    <vt:r8>316000</vt:r8>
  </property>
  <property fmtid="{D5CDD505-2E9C-101B-9397-08002B2CF9AE}" pid="5" name="xd_ProgID">
    <vt:lpwstr/>
  </property>
  <property fmtid="{D5CDD505-2E9C-101B-9397-08002B2CF9AE}" pid="6" name="TemplateUrl">
    <vt:lpwstr/>
  </property>
  <property fmtid="{D5CDD505-2E9C-101B-9397-08002B2CF9AE}" pid="7" name="MediaServiceImageTags">
    <vt:lpwstr/>
  </property>
</Properties>
</file>