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tasaomega.sharepoint.com/sites/REPORTEDEINDICADORESASTILLERO/Documentos compartidos/General/INDICADORES 2025/4. Operaciones/"/>
    </mc:Choice>
  </mc:AlternateContent>
  <xr:revisionPtr revIDLastSave="2275" documentId="13_ncr:1_{2BCE8B11-31F2-4912-B2A0-F4661E417C70}" xr6:coauthVersionLast="47" xr6:coauthVersionMax="47" xr10:uidLastSave="{88633ECC-A83D-401F-821C-72E80683991A}"/>
  <bookViews>
    <workbookView xWindow="-110" yWindow="-110" windowWidth="19420" windowHeight="10300" firstSheet="12" activeTab="14" xr2:uid="{00000000-000D-0000-FFFF-FFFF00000000}"/>
  </bookViews>
  <sheets>
    <sheet name="NORMALIZACION -MANIOBRAS" sheetId="2" r:id="rId1"/>
    <sheet name="BALANCE SCORE CARD -BSC" sheetId="3" r:id="rId2"/>
    <sheet name="PLANIFICACIÓN OBJETIVO" sheetId="33" r:id="rId3"/>
    <sheet name="Evidencia - Enero" sheetId="34" r:id="rId4"/>
    <sheet name="Evidencia - Febrero" sheetId="35" r:id="rId5"/>
    <sheet name="Evidencia - Marzo" sheetId="36" r:id="rId6"/>
    <sheet name="Evidencia - Abril" sheetId="37" r:id="rId7"/>
    <sheet name="Evidencia - Mayo" sheetId="38" r:id="rId8"/>
    <sheet name="Evidencia - Junio" sheetId="39" r:id="rId9"/>
    <sheet name="Evidencia - Julio" sheetId="40" r:id="rId10"/>
    <sheet name="Evidencia - Agosto" sheetId="41" r:id="rId11"/>
    <sheet name="Evidencia - Setiembre" sheetId="42" r:id="rId12"/>
    <sheet name="Evidencia - Octubre" sheetId="43" r:id="rId13"/>
    <sheet name="Evidencia - Noviembre" sheetId="44" r:id="rId14"/>
    <sheet name="Evidencia - Diciembre" sheetId="45" r:id="rId15"/>
  </sheets>
  <externalReferences>
    <externalReference r:id="rId16"/>
  </externalReferences>
  <definedNames>
    <definedName name="_xlnm.Print_Area" localSheetId="1">'BALANCE SCORE CARD -BSC'!$A$1:$P$59</definedName>
    <definedName name="_xlnm.Print_Area" localSheetId="0">'NORMALIZACION -MANIOBRAS'!$A$1:$L$49</definedName>
    <definedName name="_xlnm.Print_Area" localSheetId="2">'PLANIFICACIÓN OBJETIVO'!$A$1:$Z$28</definedName>
    <definedName name="Radius">'[1]Velocimetros '!$AK$32</definedName>
    <definedName name="_xlnm.Print_Titles" localSheetId="2">'PLANIFICACIÓN OBJETIVO'!$12:$12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45" l="1"/>
  <c r="C23" i="45" s="1"/>
  <c r="O12" i="3"/>
  <c r="D21" i="44"/>
  <c r="C23" i="44" s="1"/>
  <c r="D35" i="43"/>
  <c r="C37" i="43" s="1"/>
  <c r="C35" i="42"/>
  <c r="D33" i="42"/>
  <c r="D32" i="41" l="1"/>
  <c r="C34" i="41" s="1"/>
  <c r="D26" i="40"/>
  <c r="C28" i="40" s="1"/>
  <c r="D23" i="39"/>
  <c r="C25" i="39" s="1"/>
  <c r="D16" i="38" l="1"/>
  <c r="C18" i="38"/>
  <c r="D22" i="37"/>
  <c r="C24" i="37" s="1"/>
  <c r="D26" i="36"/>
  <c r="C28" i="36" s="1"/>
  <c r="D26" i="35"/>
  <c r="C28" i="35" s="1"/>
  <c r="C23" i="34" l="1"/>
  <c r="D21" i="34"/>
  <c r="V19" i="33" l="1"/>
  <c r="U19" i="33"/>
  <c r="T19" i="33"/>
  <c r="S19" i="33"/>
  <c r="V17" i="33"/>
  <c r="U17" i="33"/>
  <c r="T17" i="33"/>
  <c r="S17" i="33"/>
  <c r="W19" i="33" l="1"/>
  <c r="W17" i="33"/>
  <c r="V23" i="33" l="1"/>
  <c r="U23" i="33"/>
  <c r="W23" i="33" s="1"/>
  <c r="T23" i="33"/>
  <c r="S23" i="33"/>
  <c r="V21" i="33"/>
  <c r="U21" i="33"/>
  <c r="T21" i="33"/>
  <c r="S21" i="33"/>
  <c r="V15" i="33"/>
  <c r="U15" i="33"/>
  <c r="T15" i="33"/>
  <c r="S15" i="33"/>
  <c r="V13" i="33"/>
  <c r="U13" i="33"/>
  <c r="T13" i="33"/>
  <c r="S13" i="33"/>
  <c r="W21" i="33" l="1"/>
  <c r="W15" i="33"/>
  <c r="W13" i="33"/>
  <c r="W25"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FGAJARDO</author>
  </authors>
  <commentList>
    <comment ref="G21" authorId="0" shapeId="0" xr:uid="{00000000-0006-0000-0000-000001000000}">
      <text>
        <r>
          <rPr>
            <b/>
            <sz val="9"/>
            <color indexed="81"/>
            <rFont val="Tahoma"/>
            <family val="2"/>
          </rPr>
          <t>Fuente de los datos y/o método de cálculo de los mismos.</t>
        </r>
      </text>
    </comment>
  </commentList>
</comments>
</file>

<file path=xl/sharedStrings.xml><?xml version="1.0" encoding="utf-8"?>
<sst xmlns="http://schemas.openxmlformats.org/spreadsheetml/2006/main" count="700" uniqueCount="223">
  <si>
    <t>% DE MANIOBRAS SIN NOVEDAD</t>
  </si>
  <si>
    <t>Astillero</t>
  </si>
  <si>
    <t>ELABORADO POR:</t>
  </si>
  <si>
    <t>Jefe de Operaciones /Supervisor de Maniobras/ Asistente de Operaciones</t>
  </si>
  <si>
    <t>F. ELAB.</t>
  </si>
  <si>
    <t>VERSIÓN N°</t>
  </si>
  <si>
    <t>ÁREA:</t>
  </si>
  <si>
    <t>Operaciones</t>
  </si>
  <si>
    <t>APROBADO POR:</t>
  </si>
  <si>
    <t>Subgerente de Astillero</t>
  </si>
  <si>
    <t>F. APROB.</t>
  </si>
  <si>
    <t>1. OBJETIVOS</t>
  </si>
  <si>
    <r>
      <t xml:space="preserve">1.1 Disminuir el % de maniobra de varada y desvarada de </t>
    </r>
    <r>
      <rPr>
        <i/>
        <sz val="12"/>
        <color theme="1"/>
        <rFont val="Century Gothic"/>
        <family val="2"/>
      </rPr>
      <t xml:space="preserve">embarcaciones y/o </t>
    </r>
    <r>
      <rPr>
        <sz val="12"/>
        <color theme="1"/>
        <rFont val="Century Gothic"/>
        <family val="2"/>
      </rPr>
      <t xml:space="preserve">artefactos navales con novedad.
1.2 Medir el porcentaje de fallas en las maniobras de varado y desvarado de </t>
    </r>
    <r>
      <rPr>
        <i/>
        <sz val="12"/>
        <color theme="1"/>
        <rFont val="Century Gothic"/>
        <family val="2"/>
      </rPr>
      <t>embarcaciones y/o</t>
    </r>
    <r>
      <rPr>
        <sz val="12"/>
        <color theme="1"/>
        <rFont val="Century Gothic"/>
        <family val="2"/>
      </rPr>
      <t xml:space="preserve"> artefactos navales.
1.3 Identifica factores que impiden hacer una maniobra sin  novedad.
1.4 Es un indicador que mide la eficiencia del proceso de Maniobras.</t>
    </r>
  </si>
  <si>
    <t>1.1 Expresión Conceptual:</t>
  </si>
  <si>
    <r>
      <t xml:space="preserve">Relación entre el numero de varadas, desvaradas con novedad y el numero total de varadas, desvaradas de </t>
    </r>
    <r>
      <rPr>
        <i/>
        <sz val="12"/>
        <color theme="1"/>
        <rFont val="Century Gothic"/>
        <family val="2"/>
      </rPr>
      <t>embarcaciones y/o</t>
    </r>
    <r>
      <rPr>
        <sz val="12"/>
        <color theme="1"/>
        <rFont val="Century Gothic"/>
        <family val="2"/>
      </rPr>
      <t xml:space="preserve"> artefactos navales.</t>
    </r>
  </si>
  <si>
    <t>1.2 Expresión Matemática:</t>
  </si>
  <si>
    <t>3. NIVELES DE REFERENCIA</t>
  </si>
  <si>
    <t>4. SUB-DIVISIONES</t>
  </si>
  <si>
    <t>Histórico (últimos 05 años):</t>
  </si>
  <si>
    <t>Promedio: 98.80%
Máximo: 100.00%
Mínimo: 86.67%</t>
  </si>
  <si>
    <t>Tipos de proyectos</t>
  </si>
  <si>
    <t>Por tipo de Cliente</t>
  </si>
  <si>
    <t>Propios</t>
  </si>
  <si>
    <t>Estándar:</t>
  </si>
  <si>
    <t>Terceros</t>
  </si>
  <si>
    <t>Planificado (Meta):</t>
  </si>
  <si>
    <t>≥ 95%</t>
  </si>
  <si>
    <t>Por tipo de casco</t>
  </si>
  <si>
    <t xml:space="preserve">Acero </t>
  </si>
  <si>
    <t>Competencia:</t>
  </si>
  <si>
    <t>N/D</t>
  </si>
  <si>
    <t>Madera</t>
  </si>
  <si>
    <t>Estado del Arte:</t>
  </si>
  <si>
    <t>Por tipo de embarcación</t>
  </si>
  <si>
    <t xml:space="preserve">Pesquera </t>
  </si>
  <si>
    <t>Multipropósito</t>
  </si>
  <si>
    <t>Auxiliares</t>
  </si>
  <si>
    <t>5. CONSIDERACIONES DE GESTIÓN</t>
  </si>
  <si>
    <t>6. INFORMACIÓN Y DATOS</t>
  </si>
  <si>
    <t>3.1 Semaforización:</t>
  </si>
  <si>
    <t xml:space="preserve">≥ 95% </t>
  </si>
  <si>
    <t xml:space="preserve"> ≥85% y &lt;95%</t>
  </si>
  <si>
    <t>&lt; 85%</t>
  </si>
  <si>
    <t>3.2 Periodicidad:</t>
  </si>
  <si>
    <t>Mensual</t>
  </si>
  <si>
    <t>3.3 Responsables:</t>
  </si>
  <si>
    <t>del cálculo:</t>
  </si>
  <si>
    <t>Jefe de Operaciones; Supervisor de Maniobras; Asistente de Operaciones</t>
  </si>
  <si>
    <t>del análisis y plan de acción:</t>
  </si>
  <si>
    <t>Supervisor de Maniobras</t>
  </si>
  <si>
    <t>7. ÁRBOL DE FACTORES Y NIVELES DE RESPONSABILIDAD</t>
  </si>
  <si>
    <t>OBJETIVO</t>
  </si>
  <si>
    <t>Incrementar la cantidad de maniobras de varada y desvarada sin novedad.</t>
  </si>
  <si>
    <t>FORMULA DE CALCULO</t>
  </si>
  <si>
    <t>FUENTE DE INFORMACIÓN</t>
  </si>
  <si>
    <t>Registro de novedades durante la varada y desvarada. Cuadro resumen de varada y desvarada.</t>
  </si>
  <si>
    <t>RESPONSABLES</t>
  </si>
  <si>
    <t>Jefe de Operaciones / Supervisor de Maniobras</t>
  </si>
  <si>
    <t>FRECUENCIA DE MEDICIÓN</t>
  </si>
  <si>
    <t>UNIDAD DE MEDIDA</t>
  </si>
  <si>
    <t>Porcentaje (%)</t>
  </si>
  <si>
    <t>MES DE REPORTE</t>
  </si>
  <si>
    <t>Enero</t>
  </si>
  <si>
    <t>REPRESENTACIÓN DEL INDICADOR</t>
  </si>
  <si>
    <t>MES</t>
  </si>
  <si>
    <t>ENE</t>
  </si>
  <si>
    <t>FEB</t>
  </si>
  <si>
    <t>MAR</t>
  </si>
  <si>
    <t>ABR</t>
  </si>
  <si>
    <t>MAY</t>
  </si>
  <si>
    <t>JUN</t>
  </si>
  <si>
    <t>JUL</t>
  </si>
  <si>
    <t>AGO</t>
  </si>
  <si>
    <t>SET</t>
  </si>
  <si>
    <t>OCT</t>
  </si>
  <si>
    <t>NOV</t>
  </si>
  <si>
    <t>DIC</t>
  </si>
  <si>
    <t></t>
  </si>
  <si>
    <t>REAL</t>
  </si>
  <si>
    <t>X ≥ 95%</t>
  </si>
  <si>
    <t xml:space="preserve"> ≥ 85% X &lt;95%</t>
  </si>
  <si>
    <t>X &lt; 85%</t>
  </si>
  <si>
    <t>ANALISIS DESVIACION DEL INDICADOR</t>
  </si>
  <si>
    <t>N° SAC</t>
  </si>
  <si>
    <t>CAUSA RAIZ</t>
  </si>
  <si>
    <t xml:space="preserve">ACCIONES </t>
  </si>
  <si>
    <t>RESPONSABLE</t>
  </si>
  <si>
    <t>FECHA DE IMPLEMENTACION</t>
  </si>
  <si>
    <t>Febrero</t>
  </si>
  <si>
    <t>Marzo</t>
  </si>
  <si>
    <t>Abril</t>
  </si>
  <si>
    <t>Mayo</t>
  </si>
  <si>
    <t>Junio</t>
  </si>
  <si>
    <t>Julio</t>
  </si>
  <si>
    <t>Agosto</t>
  </si>
  <si>
    <t>Setiembre</t>
  </si>
  <si>
    <t>Octubre</t>
  </si>
  <si>
    <t>Noviembre</t>
  </si>
  <si>
    <t>Diciembre</t>
  </si>
  <si>
    <r>
      <rPr>
        <b/>
        <sz val="10"/>
        <rFont val="Century Gothic"/>
        <family val="2"/>
      </rPr>
      <t xml:space="preserve">NOTA:
</t>
    </r>
    <r>
      <rPr>
        <sz val="10"/>
        <rFont val="Century Gothic"/>
        <family val="2"/>
      </rPr>
      <t xml:space="preserve">
</t>
    </r>
    <r>
      <rPr>
        <b/>
        <sz val="10"/>
        <rFont val="Century Gothic"/>
        <family val="2"/>
      </rPr>
      <t xml:space="preserve">* </t>
    </r>
    <r>
      <rPr>
        <sz val="10"/>
        <rFont val="Century Gothic"/>
        <family val="2"/>
      </rPr>
      <t xml:space="preserve">El cuadro de </t>
    </r>
    <r>
      <rPr>
        <b/>
        <sz val="10"/>
        <rFont val="Century Gothic"/>
        <family val="2"/>
      </rPr>
      <t>ANALISIS DE DESVIACIÓN DEL INDICADOR</t>
    </r>
    <r>
      <rPr>
        <sz val="10"/>
        <rFont val="Century Gothic"/>
        <family val="2"/>
      </rPr>
      <t xml:space="preserve">, se llenará en caso el indicador se encuentre en </t>
    </r>
    <r>
      <rPr>
        <b/>
        <sz val="10"/>
        <color rgb="FFFF0000"/>
        <rFont val="Century Gothic"/>
        <family val="2"/>
      </rPr>
      <t>ROJO</t>
    </r>
    <r>
      <rPr>
        <sz val="10"/>
        <rFont val="Century Gothic"/>
        <family val="2"/>
      </rPr>
      <t xml:space="preserve"> / </t>
    </r>
    <r>
      <rPr>
        <b/>
        <sz val="10"/>
        <color rgb="FFFFC000"/>
        <rFont val="Century Gothic"/>
        <family val="2"/>
      </rPr>
      <t xml:space="preserve">AMARILLO. </t>
    </r>
    <r>
      <rPr>
        <sz val="10"/>
        <rFont val="Century Gothic"/>
        <family val="2"/>
      </rPr>
      <t xml:space="preserve">Se asignará una SAC para el análisis de la causa raíz y planteamiento de las acciones correctivas correspondientes en caso se tengan 03 meses consecutivos en caso el indicador se encuentre el </t>
    </r>
    <r>
      <rPr>
        <b/>
        <sz val="10"/>
        <color rgb="FFFFC000"/>
        <rFont val="Century Gothic"/>
        <family val="2"/>
      </rPr>
      <t>AMARILLO</t>
    </r>
    <r>
      <rPr>
        <sz val="10"/>
        <rFont val="Century Gothic"/>
        <family val="2"/>
      </rPr>
      <t xml:space="preserve"> o en </t>
    </r>
    <r>
      <rPr>
        <b/>
        <sz val="10"/>
        <color rgb="FFFF0000"/>
        <rFont val="Century Gothic"/>
        <family val="2"/>
      </rPr>
      <t>ROJO</t>
    </r>
    <r>
      <rPr>
        <sz val="10"/>
        <rFont val="Century Gothic"/>
        <family val="2"/>
      </rPr>
      <t xml:space="preserve">. En caso excepcional, puede aperturarse una SAC en caso el dueño del proceso y/o subgerencia de astillero lo considere necesario.
</t>
    </r>
    <r>
      <rPr>
        <b/>
        <sz val="10"/>
        <rFont val="Century Gothic"/>
        <family val="2"/>
      </rPr>
      <t>*</t>
    </r>
    <r>
      <rPr>
        <sz val="10"/>
        <rFont val="Century Gothic"/>
        <family val="2"/>
      </rPr>
      <t xml:space="preserve"> Cuando no se reporten datos en el mes se pintara el recuadro de color </t>
    </r>
    <r>
      <rPr>
        <b/>
        <sz val="10"/>
        <color rgb="FF00B0F0"/>
        <rFont val="Century Gothic"/>
        <family val="2"/>
      </rPr>
      <t xml:space="preserve">CELESTE                        </t>
    </r>
    <r>
      <rPr>
        <sz val="10"/>
        <rFont val="Century Gothic"/>
        <family val="2"/>
      </rPr>
      <t xml:space="preserve">.
</t>
    </r>
  </si>
  <si>
    <t>PLANIFICACION DE OBJETIVOS</t>
  </si>
  <si>
    <t xml:space="preserve"> </t>
  </si>
  <si>
    <t>Objetivo</t>
  </si>
  <si>
    <t>Descripción</t>
  </si>
  <si>
    <t xml:space="preserve">% de maniobras sin novedad </t>
  </si>
  <si>
    <t>Formula</t>
  </si>
  <si>
    <t>Meta</t>
  </si>
  <si>
    <t>Frecuencia</t>
  </si>
  <si>
    <t>Presupuesto / Recursos</t>
  </si>
  <si>
    <t>CeCo del Área Operaciones; 01 Supervisor de Maniobras; 09 Maniobristas; Carro de varado; Winches N° 1; Winche N° 2; Winche N° 3; Desktop; Impresora; celular; EPPs.</t>
  </si>
  <si>
    <t>Área</t>
  </si>
  <si>
    <t>Dueño de Proceso</t>
  </si>
  <si>
    <t>Supervisor de maniobras</t>
  </si>
  <si>
    <t>Nº</t>
  </si>
  <si>
    <t>Descripción de la actividad</t>
  </si>
  <si>
    <t>Responsable de la ejecución</t>
  </si>
  <si>
    <t>AÑO 2025</t>
  </si>
  <si>
    <t>Fecha de Verificación</t>
  </si>
  <si>
    <t>Cumplimiento</t>
  </si>
  <si>
    <t xml:space="preserve">% de cumplimiento </t>
  </si>
  <si>
    <t xml:space="preserve">Estado </t>
  </si>
  <si>
    <t>Observaciones</t>
  </si>
  <si>
    <t>E</t>
  </si>
  <si>
    <t>F</t>
  </si>
  <si>
    <t>M</t>
  </si>
  <si>
    <t>A</t>
  </si>
  <si>
    <t>J</t>
  </si>
  <si>
    <t>S</t>
  </si>
  <si>
    <t>O</t>
  </si>
  <si>
    <t>N</t>
  </si>
  <si>
    <t>D</t>
  </si>
  <si>
    <t>Prog.</t>
  </si>
  <si>
    <t>Repro.</t>
  </si>
  <si>
    <t xml:space="preserve">Ejec. </t>
  </si>
  <si>
    <t>No Ejec.</t>
  </si>
  <si>
    <t>Mantenimiento de calzos, carro de transferencia 1 y 2; Carro de varada; Carro  cuna; Rieles de fosa 1 y 2; Rieles de parqueo; Tramo de linea de varado 1 al 19; Winche 1, 2 y 3</t>
  </si>
  <si>
    <t>Jefe de mantenimiento y control de calidad</t>
  </si>
  <si>
    <t>Mantenimiento</t>
  </si>
  <si>
    <t>P</t>
  </si>
  <si>
    <t>Según programa de mantenimiento</t>
  </si>
  <si>
    <t>Seguimiento al registro de novedades durante las varadas y desvaradas</t>
  </si>
  <si>
    <t>Check list antes del inicio de la maniobra de varado, desvarado y traslado en patio de maniobras</t>
  </si>
  <si>
    <t>Verificar cumplimiento del plan de  mantenimiento anual del sistema de varado.</t>
  </si>
  <si>
    <t xml:space="preserve">Llevar un registro histórico de varado </t>
  </si>
  <si>
    <t xml:space="preserve">Total </t>
  </si>
  <si>
    <t>ITEM</t>
  </si>
  <si>
    <t>EMBARCACION</t>
  </si>
  <si>
    <t>FECHA</t>
  </si>
  <si>
    <t>TRASLADO</t>
  </si>
  <si>
    <t>OBSERVACIONES</t>
  </si>
  <si>
    <t>PESO</t>
  </si>
  <si>
    <t>VARADA</t>
  </si>
  <si>
    <t>DESVARADA</t>
  </si>
  <si>
    <t>CHATA FERROLES 4</t>
  </si>
  <si>
    <t>RM TRITON</t>
  </si>
  <si>
    <t>MODESTO 8</t>
  </si>
  <si>
    <t>CHATA CALLAO</t>
  </si>
  <si>
    <t>TASA 412</t>
  </si>
  <si>
    <t>TASA 418</t>
  </si>
  <si>
    <t>TASA 310</t>
  </si>
  <si>
    <t>CHATA SUPE</t>
  </si>
  <si>
    <t>RESUMEN:</t>
  </si>
  <si>
    <t>TOTAL</t>
  </si>
  <si>
    <t>SIN NOVEDAD</t>
  </si>
  <si>
    <t xml:space="preserve">CON </t>
  </si>
  <si>
    <t xml:space="preserve"> MANIOBRAS</t>
  </si>
  <si>
    <t>NOVEDAD</t>
  </si>
  <si>
    <t>%  CUMPLIMIENTO</t>
  </si>
  <si>
    <t>Escoramiento al momento de varada</t>
  </si>
  <si>
    <t>SUBGERENCIA:</t>
  </si>
  <si>
    <t>TASA 17</t>
  </si>
  <si>
    <t>MODESTO 7</t>
  </si>
  <si>
    <t>TERESA</t>
  </si>
  <si>
    <t>MACABI 9</t>
  </si>
  <si>
    <t>SAMA 1</t>
  </si>
  <si>
    <t>TASA 34</t>
  </si>
  <si>
    <t>REM CUAJONE</t>
  </si>
  <si>
    <t>SIMY 3</t>
  </si>
  <si>
    <t>PANGA CARMEN JUDITH 1</t>
  </si>
  <si>
    <t>CARMEN JUDITH 1</t>
  </si>
  <si>
    <t>RM NAYLAMP</t>
  </si>
  <si>
    <t>TIBURON 2</t>
  </si>
  <si>
    <t>PANGA TIBURON 2</t>
  </si>
  <si>
    <t>RM CUAJONE</t>
  </si>
  <si>
    <t>Maniobras tuvo que colocar calzos laterales (tacos de madera) en las vigas de 5m debido a que la almohada del lado estribor proa fue muy alta.</t>
  </si>
  <si>
    <t>RM CASTOR</t>
  </si>
  <si>
    <t>AURELIA</t>
  </si>
  <si>
    <t>CHATA PISCO</t>
  </si>
  <si>
    <r>
      <rPr>
        <b/>
        <u/>
        <sz val="9"/>
        <color theme="1"/>
        <rFont val="Arial"/>
        <family val="2"/>
      </rPr>
      <t>Novedad:</t>
    </r>
    <r>
      <rPr>
        <sz val="9"/>
        <color theme="1"/>
        <rFont val="Arial"/>
        <family val="2"/>
      </rPr>
      <t xml:space="preserve"> Al momento de iniciar con el desvarado, el operador del Winche 1 procedió a templar o jalar el cable del Carro de Varado para poder retirar los pines y los topes de seguridad lado norte y sur de este, luego de dicha actividad, hubo rotura del pin de aseguramiento del la PASTECA DEL CARRO DE VARADO, lo que ocasionó que el Carro de Varado junto al RM NAYLAMP descendieran hacia mar</t>
    </r>
  </si>
  <si>
    <r>
      <rPr>
        <b/>
        <u/>
        <sz val="9"/>
        <color theme="1"/>
        <rFont val="Arial"/>
        <family val="2"/>
      </rPr>
      <t>Novedad</t>
    </r>
    <r>
      <rPr>
        <sz val="9"/>
        <color theme="1"/>
        <rFont val="Arial"/>
        <family val="2"/>
      </rPr>
      <t>: al momento del desvarado, embarcación chocó y rompió almohada de popa estribor.</t>
    </r>
  </si>
  <si>
    <t>TASA 35</t>
  </si>
  <si>
    <t>CH FERROLES IV</t>
  </si>
  <si>
    <t>RIMAC</t>
  </si>
  <si>
    <t>TIBURON 9</t>
  </si>
  <si>
    <t>CH EXALMAR</t>
  </si>
  <si>
    <t>DON MILTON</t>
  </si>
  <si>
    <r>
      <rPr>
        <b/>
        <sz val="10"/>
        <color theme="1"/>
        <rFont val="Calibri"/>
        <family val="2"/>
      </rPr>
      <t xml:space="preserve">Novedad: </t>
    </r>
    <r>
      <rPr>
        <sz val="10"/>
        <color theme="1"/>
        <rFont val="Calibri"/>
        <family val="2"/>
      </rPr>
      <t>los calzos de popa babor y estribor no ingresaron por tener demasiada altura, la cama se confeccionó según Plano AT25-R238-A05</t>
    </r>
  </si>
  <si>
    <t>MODESTO 9</t>
  </si>
  <si>
    <t>CHATA TAMAKUN</t>
  </si>
  <si>
    <t>CHATA EXALMAR</t>
  </si>
  <si>
    <t xml:space="preserve">Se intentó realizar la maniobra a las 17:30pm, pero por falta de altura en las almohadas se tuvo que suspender, no hubo daños operativos, se procedió a subir Carro de Varado y personal de maniobras aumentó alturas, luego de ello, la maniobra se desarrolló sin ninguna novedad. </t>
  </si>
  <si>
    <t>Al momento del Varado hubo hundimiento del codillo en la zona de almohada lado proa babor por tener almohada muy alta según plano AT19-R024-A05</t>
  </si>
  <si>
    <t>1. Crear carpeta compartidad con los planos de varado actualizados de los proyectos que subieron al Astillero.</t>
  </si>
  <si>
    <t>Oscar Navarro</t>
  </si>
  <si>
    <t>El área de Diseño no entregó el plano de varado con la version actualizada de la EP TASA34, asimismo el Supervisor de Maniboras no realizó una revisión previa de los datos históricos de varado , solo se tubo como referencia el plano de varado, entregado por Diseño.</t>
  </si>
  <si>
    <t>Al momento del ingreso al Carro de Varado, embarcación colisionó con almohada lado popa estribor, lo genero la ruptura de esta; personal de maniobras rectifico dicha observación estando en tierra.</t>
  </si>
  <si>
    <t>Al momento del ingreso al Carro de Varado, remolcador colisionó con los picaderos centrales de popa, lo genero la ruptura de estos en las 02 ultimas vigas de popa.</t>
  </si>
  <si>
    <t>1. Previo a la varada, realizar pruebas de comunicación entre el Supervisor de Maniobras y el Capitan del barco</t>
  </si>
  <si>
    <t>Armando Sanchez</t>
  </si>
  <si>
    <t>Permanente</t>
  </si>
  <si>
    <t xml:space="preserve">Falta de comunicación directa entre Supervisor de Maniobras y capitan de la embarcación. 
</t>
  </si>
  <si>
    <t>1 No se cumplió con el procedimiento de varada y desvarada de tener un vigia, que alerte al winchero del winche 1, que el carro de varada, llegó a su tope.
2. porque el diseño del pin de seguridad requiere que el carro llegue hasta el tope</t>
  </si>
  <si>
    <t>1. Reinducción del procedimeinto de Varada y desvarda al personal Maniobrista.
2. Capacitar al personal vigía y winchero sobre límites operativos y señales de alerta.</t>
  </si>
  <si>
    <t>COQUI XV(EX DANIA 1)</t>
  </si>
  <si>
    <t>TASA 111</t>
  </si>
  <si>
    <t>PANGA TIBURON 9</t>
  </si>
  <si>
    <t>PANGA COQUI XV(EX DANIA 1)</t>
  </si>
  <si>
    <t>PANGA COQUI XV (EX-DANIA 1)</t>
  </si>
  <si>
    <t>CHATA TANGARARA</t>
  </si>
  <si>
    <t>C&amp;Z 3</t>
  </si>
  <si>
    <t>RM HUARI</t>
  </si>
  <si>
    <t>CARIBE</t>
  </si>
  <si>
    <r>
      <rPr>
        <b/>
        <sz val="12"/>
        <rFont val="Century Gothic"/>
        <family val="2"/>
      </rPr>
      <t>Fuente de información:</t>
    </r>
    <r>
      <rPr>
        <sz val="12"/>
        <rFont val="Century Gothic"/>
        <family val="2"/>
      </rPr>
      <t xml:space="preserve"> 
Informe del Supervisor de Maniobra (Reporte del supervisor de Maniobras vía correo electronico de las novedades presentadas durante la maniobra de varada y desvarada
Check list para varados, traslados y desvarados de naves y artefactos navales)
</t>
    </r>
    <r>
      <rPr>
        <b/>
        <sz val="12"/>
        <rFont val="Century Gothic"/>
        <family val="2"/>
      </rPr>
      <t>El levantamiento de la información es por</t>
    </r>
    <r>
      <rPr>
        <sz val="12"/>
        <rFont val="Century Gothic"/>
        <family val="2"/>
      </rPr>
      <t xml:space="preserve">: Evento multiplicado por el peso de evento.
</t>
    </r>
    <r>
      <rPr>
        <b/>
        <sz val="12"/>
        <rFont val="Century Gothic"/>
        <family val="2"/>
      </rPr>
      <t>El análisis del cumplimiento se hace de forma:</t>
    </r>
    <r>
      <rPr>
        <sz val="12"/>
        <rFont val="Century Gothic"/>
        <family val="2"/>
      </rPr>
      <t xml:space="preserve">  Mensual.
El Asistente de operaciones consolidad la información.
</t>
    </r>
    <r>
      <rPr>
        <b/>
        <sz val="12"/>
        <rFont val="Century Gothic"/>
        <family val="2"/>
      </rPr>
      <t>Condición de cumplimiento</t>
    </r>
    <r>
      <rPr>
        <sz val="12"/>
        <rFont val="Century Gothic"/>
        <family val="2"/>
      </rPr>
      <t xml:space="preserve">: Varada, traslado o desvarada sin novedad.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</si>
</sst>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_(* #,##0.00_);_(* \(#,##0.00\);_(* &quot;-&quot;??_);_(@_)"/>
    <numFmt numFmtId="166" formatCode="0.0"/>
    <numFmt numFmtId="167" formatCode="_(* #,##0.0_);_(* \(#,##0.0\);_(* &quot;-&quot;??_);_(@_)"/>
  </numFmts>
  <fonts count="8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4"/>
      <name val="Arial"/>
      <family val="2"/>
    </font>
    <font>
      <sz val="10"/>
      <name val="Arial"/>
      <family val="2"/>
    </font>
    <font>
      <sz val="14"/>
      <name val="Arial"/>
      <family val="2"/>
    </font>
    <font>
      <b/>
      <sz val="9"/>
      <color indexed="81"/>
      <name val="Tahoma"/>
      <family val="2"/>
    </font>
    <font>
      <sz val="12"/>
      <name val="Arial"/>
      <family val="2"/>
    </font>
    <font>
      <b/>
      <sz val="12"/>
      <name val="Arial"/>
      <family val="2"/>
    </font>
    <font>
      <sz val="10"/>
      <color theme="0"/>
      <name val="Arial"/>
      <family val="2"/>
    </font>
    <font>
      <sz val="10"/>
      <name val="TheSansCorrespondence"/>
    </font>
    <font>
      <sz val="12"/>
      <color theme="0"/>
      <name val="Arial"/>
      <family val="2"/>
    </font>
    <font>
      <b/>
      <sz val="12"/>
      <color theme="0"/>
      <name val="Arial"/>
      <family val="2"/>
    </font>
    <font>
      <b/>
      <sz val="12"/>
      <color indexed="12"/>
      <name val="Arial"/>
      <family val="2"/>
    </font>
    <font>
      <sz val="10"/>
      <name val="Tahoma"/>
      <family val="2"/>
    </font>
    <font>
      <b/>
      <sz val="12"/>
      <color theme="1"/>
      <name val="MS Reference Sans Serif"/>
      <family val="2"/>
    </font>
    <font>
      <sz val="12"/>
      <name val="Century Gothic"/>
      <family val="2"/>
    </font>
    <font>
      <b/>
      <sz val="12"/>
      <name val="Century Gothic"/>
      <family val="2"/>
    </font>
    <font>
      <sz val="12"/>
      <color theme="1"/>
      <name val="Century Gothic"/>
      <family val="2"/>
    </font>
    <font>
      <u/>
      <sz val="12"/>
      <name val="Century Gothic"/>
      <family val="2"/>
    </font>
    <font>
      <sz val="10"/>
      <name val="Century Gothic"/>
      <family val="2"/>
    </font>
    <font>
      <b/>
      <sz val="10"/>
      <name val="Century Gothic"/>
      <family val="2"/>
    </font>
    <font>
      <sz val="14"/>
      <name val="Century Gothic"/>
      <family val="2"/>
    </font>
    <font>
      <sz val="12"/>
      <color indexed="55"/>
      <name val="Century Gothic"/>
      <family val="2"/>
    </font>
    <font>
      <sz val="12"/>
      <color theme="0"/>
      <name val="Century Gothic"/>
      <family val="2"/>
    </font>
    <font>
      <b/>
      <sz val="12"/>
      <color theme="0"/>
      <name val="Century Gothic"/>
      <family val="2"/>
    </font>
    <font>
      <b/>
      <sz val="12"/>
      <color rgb="FFFF0000"/>
      <name val="Century Gothic"/>
      <family val="2"/>
    </font>
    <font>
      <b/>
      <sz val="12"/>
      <color indexed="12"/>
      <name val="Century Gothic"/>
      <family val="2"/>
    </font>
    <font>
      <b/>
      <u/>
      <sz val="12"/>
      <color indexed="12"/>
      <name val="Century Gothic"/>
      <family val="2"/>
    </font>
    <font>
      <b/>
      <sz val="12"/>
      <color theme="1"/>
      <name val="Century Gothic"/>
      <family val="2"/>
    </font>
    <font>
      <sz val="12"/>
      <color indexed="12"/>
      <name val="Century Gothic"/>
      <family val="2"/>
    </font>
    <font>
      <b/>
      <sz val="10"/>
      <color rgb="FFFF0000"/>
      <name val="Century Gothic"/>
      <family val="2"/>
    </font>
    <font>
      <b/>
      <sz val="10"/>
      <color rgb="FFFFC000"/>
      <name val="Century Gothic"/>
      <family val="2"/>
    </font>
    <font>
      <b/>
      <sz val="10"/>
      <color rgb="FF00B0F0"/>
      <name val="Century Gothic"/>
      <family val="2"/>
    </font>
    <font>
      <b/>
      <sz val="14"/>
      <color theme="1"/>
      <name val="Century Gothic"/>
      <family val="2"/>
    </font>
    <font>
      <b/>
      <sz val="14"/>
      <name val="Century Gothic"/>
      <family val="2"/>
    </font>
    <font>
      <sz val="9"/>
      <name val="Century Gothic"/>
      <family val="2"/>
    </font>
    <font>
      <b/>
      <sz val="36"/>
      <color theme="1"/>
      <name val="Century Gothic"/>
      <family val="2"/>
    </font>
    <font>
      <sz val="8"/>
      <name val="Arial"/>
      <family val="2"/>
    </font>
    <font>
      <b/>
      <sz val="14"/>
      <color theme="1"/>
      <name val="Arial"/>
      <family val="2"/>
    </font>
    <font>
      <b/>
      <sz val="11"/>
      <name val="Century Gothic"/>
      <family val="2"/>
    </font>
    <font>
      <sz val="11"/>
      <name val="Century Gothic"/>
      <family val="2"/>
    </font>
    <font>
      <b/>
      <sz val="10"/>
      <color theme="0"/>
      <name val="Arial"/>
      <family val="2"/>
    </font>
    <font>
      <b/>
      <i/>
      <sz val="12"/>
      <name val="Century Gothic"/>
      <family val="2"/>
    </font>
    <font>
      <b/>
      <sz val="10"/>
      <color rgb="FF000000"/>
      <name val="Calibri"/>
      <family val="2"/>
    </font>
    <font>
      <b/>
      <sz val="10"/>
      <name val="Calibri"/>
      <family val="2"/>
    </font>
    <font>
      <sz val="10"/>
      <color rgb="FF000000"/>
      <name val="Calibri"/>
      <family val="2"/>
    </font>
    <font>
      <sz val="11"/>
      <color rgb="FF000000"/>
      <name val="Calibri"/>
      <family val="2"/>
    </font>
    <font>
      <sz val="10"/>
      <name val="Calibri"/>
      <family val="2"/>
    </font>
    <font>
      <b/>
      <sz val="10"/>
      <name val="Arial"/>
      <family val="2"/>
    </font>
    <font>
      <sz val="10"/>
      <color rgb="FF000000"/>
      <name val="Arial"/>
      <family val="2"/>
    </font>
    <font>
      <b/>
      <sz val="10"/>
      <color rgb="FF000000"/>
      <name val="Arial"/>
      <family val="2"/>
    </font>
    <font>
      <sz val="8"/>
      <name val="Arial"/>
      <family val="2"/>
    </font>
    <font>
      <i/>
      <sz val="12"/>
      <color theme="1"/>
      <name val="Century Gothic"/>
      <family val="2"/>
    </font>
    <font>
      <sz val="9"/>
      <color theme="1"/>
      <name val="Arial"/>
      <family val="2"/>
    </font>
    <font>
      <sz val="8"/>
      <name val="Arial"/>
      <family val="2"/>
    </font>
    <font>
      <sz val="9"/>
      <name val="Arial"/>
      <family val="2"/>
    </font>
    <font>
      <sz val="8"/>
      <color theme="1"/>
      <name val="Arial"/>
      <family val="2"/>
    </font>
    <font>
      <sz val="8"/>
      <name val="Arial"/>
      <family val="2"/>
    </font>
    <font>
      <sz val="9"/>
      <color rgb="FF000000"/>
      <name val="Century Gothic"/>
      <family val="2"/>
    </font>
    <font>
      <b/>
      <sz val="11"/>
      <color rgb="FF000000"/>
      <name val="Calibri"/>
      <family val="2"/>
    </font>
    <font>
      <b/>
      <sz val="11"/>
      <name val="Calibri"/>
      <family val="2"/>
    </font>
    <font>
      <sz val="11"/>
      <name val="Calibri"/>
      <family val="2"/>
    </font>
    <font>
      <sz val="11"/>
      <color theme="1"/>
      <name val="Calibri"/>
      <family val="2"/>
    </font>
    <font>
      <sz val="7"/>
      <color theme="1"/>
      <name val="Century Gothic"/>
      <family val="2"/>
    </font>
    <font>
      <sz val="7"/>
      <name val="Century Gothic"/>
      <family val="2"/>
    </font>
    <font>
      <b/>
      <u/>
      <sz val="9"/>
      <color theme="1"/>
      <name val="Arial"/>
      <family val="2"/>
    </font>
    <font>
      <sz val="10"/>
      <color theme="1"/>
      <name val="Calibri"/>
      <family val="2"/>
    </font>
    <font>
      <b/>
      <sz val="10"/>
      <color theme="1"/>
      <name val="Calibri"/>
      <family val="2"/>
    </font>
    <font>
      <sz val="12"/>
      <color rgb="FF000000"/>
      <name val="Calibri"/>
      <family val="2"/>
    </font>
    <font>
      <sz val="12"/>
      <color theme="1"/>
      <name val="Arial"/>
      <family val="2"/>
    </font>
    <font>
      <sz val="11"/>
      <name val="Calibri"/>
      <family val="2"/>
      <scheme val="minor"/>
    </font>
    <font>
      <b/>
      <sz val="11"/>
      <color rgb="FF000000"/>
      <name val="Calibri"/>
      <family val="2"/>
      <scheme val="minor"/>
    </font>
    <font>
      <b/>
      <sz val="11"/>
      <name val="Calibri"/>
      <family val="2"/>
      <scheme val="minor"/>
    </font>
    <font>
      <sz val="11"/>
      <color rgb="FF000000"/>
      <name val="Calibri"/>
      <family val="2"/>
      <scheme val="minor"/>
    </font>
  </fonts>
  <fills count="2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00FF00"/>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4" tint="0.79998168889431442"/>
        <bgColor rgb="FF000000"/>
      </patternFill>
    </fill>
    <fill>
      <patternFill patternType="solid">
        <fgColor theme="0"/>
        <bgColor rgb="FF000000"/>
      </patternFill>
    </fill>
    <fill>
      <patternFill patternType="solid">
        <fgColor theme="0"/>
        <bgColor theme="4" tint="0.59999389629810485"/>
      </patternFill>
    </fill>
    <fill>
      <patternFill patternType="solid">
        <fgColor rgb="FFFFFFFF"/>
        <bgColor rgb="FF000000"/>
      </patternFill>
    </fill>
    <fill>
      <patternFill patternType="solid">
        <fgColor theme="0"/>
        <bgColor theme="4" tint="0.79998168889431442"/>
      </patternFill>
    </fill>
    <fill>
      <patternFill patternType="solid">
        <fgColor rgb="FFDDEBF7"/>
        <bgColor rgb="FF000000"/>
      </patternFill>
    </fill>
    <fill>
      <patternFill patternType="solid">
        <fgColor theme="3" tint="0.79998168889431442"/>
        <bgColor indexed="64"/>
      </patternFill>
    </fill>
  </fills>
  <borders count="7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right style="thin">
        <color indexed="64"/>
      </right>
      <top style="medium">
        <color indexed="64"/>
      </top>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bottom>
      <diagonal/>
    </border>
  </borders>
  <cellStyleXfs count="15">
    <xf numFmtId="0" fontId="0" fillId="0" borderId="0"/>
    <xf numFmtId="165" fontId="10" fillId="0" borderId="0" applyFont="0" applyFill="0" applyBorder="0" applyAlignment="0" applyProtection="0"/>
    <xf numFmtId="0" fontId="10" fillId="0" borderId="0"/>
    <xf numFmtId="0" fontId="16" fillId="0" borderId="0"/>
    <xf numFmtId="165" fontId="10" fillId="0" borderId="0" applyFont="0" applyFill="0" applyBorder="0" applyAlignment="0" applyProtection="0"/>
    <xf numFmtId="164" fontId="16" fillId="0" borderId="0" applyFont="0" applyFill="0" applyBorder="0" applyAlignment="0" applyProtection="0"/>
    <xf numFmtId="0" fontId="20" fillId="0" borderId="0"/>
    <xf numFmtId="0" fontId="10" fillId="0" borderId="0"/>
    <xf numFmtId="0" fontId="10" fillId="0" borderId="0"/>
    <xf numFmtId="9" fontId="10" fillId="0" borderId="0" applyFont="0" applyFill="0" applyBorder="0" applyAlignment="0" applyProtection="0"/>
    <xf numFmtId="0" fontId="8" fillId="0" borderId="0"/>
    <xf numFmtId="0" fontId="7" fillId="0" borderId="0"/>
    <xf numFmtId="0" fontId="6" fillId="0" borderId="0"/>
    <xf numFmtId="0" fontId="5" fillId="0" borderId="0"/>
    <xf numFmtId="0" fontId="4" fillId="0" borderId="0"/>
  </cellStyleXfs>
  <cellXfs count="551">
    <xf numFmtId="0" fontId="0" fillId="0" borderId="0" xfId="0"/>
    <xf numFmtId="0" fontId="9" fillId="0" borderId="0" xfId="0" applyFont="1" applyAlignment="1">
      <alignment vertical="center"/>
    </xf>
    <xf numFmtId="0" fontId="0" fillId="0" borderId="13" xfId="0" applyBorder="1"/>
    <xf numFmtId="0" fontId="11" fillId="0" borderId="0" xfId="0" applyFont="1"/>
    <xf numFmtId="0" fontId="13" fillId="0" borderId="0" xfId="0" applyFont="1"/>
    <xf numFmtId="0" fontId="15" fillId="3" borderId="0" xfId="2" applyFont="1" applyFill="1" applyAlignment="1">
      <alignment horizontal="center"/>
    </xf>
    <xf numFmtId="0" fontId="15" fillId="3" borderId="0" xfId="2" applyFont="1" applyFill="1"/>
    <xf numFmtId="0" fontId="13" fillId="0" borderId="13" xfId="0" applyFont="1" applyBorder="1"/>
    <xf numFmtId="0" fontId="17" fillId="3" borderId="0" xfId="2" applyFont="1" applyFill="1" applyAlignment="1">
      <alignment horizontal="left" vertical="center" wrapText="1"/>
    </xf>
    <xf numFmtId="0" fontId="18" fillId="3" borderId="0" xfId="2" applyFont="1" applyFill="1" applyAlignment="1">
      <alignment horizontal="center" vertical="center" wrapText="1"/>
    </xf>
    <xf numFmtId="166" fontId="17" fillId="3" borderId="0" xfId="2" applyNumberFormat="1" applyFont="1" applyFill="1" applyAlignment="1">
      <alignment horizontal="center" vertical="center" wrapText="1"/>
    </xf>
    <xf numFmtId="0" fontId="17" fillId="3" borderId="0" xfId="2" applyFont="1" applyFill="1" applyAlignment="1">
      <alignment horizontal="center" vertical="center" wrapText="1"/>
    </xf>
    <xf numFmtId="0" fontId="17" fillId="3" borderId="0" xfId="3" applyFont="1" applyFill="1" applyAlignment="1">
      <alignment horizontal="left" vertical="center" wrapText="1"/>
    </xf>
    <xf numFmtId="0" fontId="17" fillId="3" borderId="0" xfId="3" applyFont="1" applyFill="1" applyAlignment="1">
      <alignment horizontal="center" vertical="center" wrapText="1"/>
    </xf>
    <xf numFmtId="0" fontId="13" fillId="4" borderId="0" xfId="2" applyFont="1" applyFill="1" applyAlignment="1">
      <alignment horizontal="center"/>
    </xf>
    <xf numFmtId="0" fontId="17" fillId="3" borderId="0" xfId="2" applyFont="1" applyFill="1" applyAlignment="1">
      <alignment horizontal="center"/>
    </xf>
    <xf numFmtId="0" fontId="17" fillId="3" borderId="0" xfId="2" applyFont="1" applyFill="1"/>
    <xf numFmtId="0" fontId="13" fillId="4" borderId="0" xfId="2" applyFont="1" applyFill="1"/>
    <xf numFmtId="0" fontId="19" fillId="4" borderId="0" xfId="2" applyFont="1" applyFill="1" applyAlignment="1">
      <alignment vertical="center"/>
    </xf>
    <xf numFmtId="0" fontId="19" fillId="4" borderId="0" xfId="2" applyFont="1" applyFill="1" applyAlignment="1">
      <alignment vertical="center" wrapText="1"/>
    </xf>
    <xf numFmtId="0" fontId="14" fillId="5" borderId="0" xfId="2" applyFont="1" applyFill="1" applyAlignment="1">
      <alignment horizontal="center" vertical="center" wrapText="1"/>
    </xf>
    <xf numFmtId="0" fontId="14" fillId="5" borderId="0" xfId="2" applyFont="1" applyFill="1" applyAlignment="1">
      <alignment horizontal="left" vertical="center" wrapText="1"/>
    </xf>
    <xf numFmtId="0" fontId="14" fillId="4" borderId="0" xfId="2" applyFont="1" applyFill="1" applyAlignment="1">
      <alignment horizontal="center" vertical="center" wrapText="1"/>
    </xf>
    <xf numFmtId="0" fontId="13" fillId="4" borderId="0" xfId="2" applyFont="1" applyFill="1" applyAlignment="1">
      <alignment horizontal="left" vertical="center" wrapText="1"/>
    </xf>
    <xf numFmtId="0" fontId="14" fillId="4" borderId="0" xfId="2" applyFont="1" applyFill="1"/>
    <xf numFmtId="4" fontId="13" fillId="4" borderId="0" xfId="2" applyNumberFormat="1" applyFont="1" applyFill="1"/>
    <xf numFmtId="17" fontId="13" fillId="4" borderId="0" xfId="2" applyNumberFormat="1" applyFont="1" applyFill="1" applyAlignment="1">
      <alignment horizontal="center"/>
    </xf>
    <xf numFmtId="167" fontId="13" fillId="0" borderId="0" xfId="4" applyNumberFormat="1" applyFont="1" applyFill="1" applyBorder="1" applyAlignment="1">
      <alignment horizontal="center"/>
    </xf>
    <xf numFmtId="164" fontId="14" fillId="0" borderId="0" xfId="5" applyFont="1" applyFill="1" applyBorder="1" applyAlignment="1">
      <alignment horizontal="center"/>
    </xf>
    <xf numFmtId="3" fontId="13" fillId="3" borderId="0" xfId="4" applyNumberFormat="1" applyFont="1" applyFill="1" applyBorder="1" applyAlignment="1">
      <alignment horizontal="center"/>
    </xf>
    <xf numFmtId="0" fontId="10" fillId="4" borderId="12" xfId="3" applyFont="1" applyFill="1" applyBorder="1" applyAlignment="1">
      <alignment horizontal="left" vertical="center" wrapText="1"/>
    </xf>
    <xf numFmtId="0" fontId="17" fillId="3" borderId="13" xfId="3" applyFont="1" applyFill="1" applyBorder="1" applyAlignment="1">
      <alignment horizontal="center" vertical="center" wrapText="1"/>
    </xf>
    <xf numFmtId="0" fontId="10" fillId="4" borderId="12" xfId="2" applyFill="1" applyBorder="1"/>
    <xf numFmtId="0" fontId="13" fillId="4" borderId="0" xfId="2" applyFont="1" applyFill="1" applyAlignment="1">
      <alignment horizontal="left"/>
    </xf>
    <xf numFmtId="0" fontId="17" fillId="3" borderId="13" xfId="2" applyFont="1" applyFill="1" applyBorder="1" applyAlignment="1">
      <alignment horizontal="center"/>
    </xf>
    <xf numFmtId="0" fontId="13" fillId="0" borderId="0" xfId="2" applyFont="1"/>
    <xf numFmtId="0" fontId="13" fillId="4" borderId="13" xfId="2" applyFont="1" applyFill="1" applyBorder="1" applyAlignment="1">
      <alignment horizontal="center"/>
    </xf>
    <xf numFmtId="0" fontId="13" fillId="5" borderId="0" xfId="2" applyFont="1" applyFill="1" applyAlignment="1">
      <alignment horizontal="left" vertical="center" wrapText="1"/>
    </xf>
    <xf numFmtId="0" fontId="10" fillId="5" borderId="12" xfId="2" applyFill="1" applyBorder="1" applyAlignment="1">
      <alignment horizontal="left" vertical="center" wrapText="1"/>
    </xf>
    <xf numFmtId="0" fontId="10" fillId="4" borderId="14" xfId="2" applyFill="1" applyBorder="1"/>
    <xf numFmtId="0" fontId="13" fillId="4" borderId="16" xfId="2" applyFont="1" applyFill="1" applyBorder="1" applyAlignment="1">
      <alignment horizontal="center"/>
    </xf>
    <xf numFmtId="0" fontId="0" fillId="0" borderId="0" xfId="0" applyAlignment="1">
      <alignment vertical="center"/>
    </xf>
    <xf numFmtId="0" fontId="22" fillId="0" borderId="0" xfId="0" applyFont="1"/>
    <xf numFmtId="0" fontId="22" fillId="0" borderId="0" xfId="0" applyFont="1" applyAlignment="1">
      <alignment vertical="center"/>
    </xf>
    <xf numFmtId="0" fontId="23" fillId="2" borderId="4" xfId="0" applyFont="1" applyFill="1" applyBorder="1" applyAlignment="1">
      <alignment horizontal="left" vertical="center"/>
    </xf>
    <xf numFmtId="0" fontId="23" fillId="2" borderId="6" xfId="0" applyFont="1" applyFill="1" applyBorder="1" applyAlignment="1">
      <alignment vertical="center"/>
    </xf>
    <xf numFmtId="0" fontId="23" fillId="2" borderId="8" xfId="0" applyFont="1" applyFill="1" applyBorder="1" applyAlignment="1">
      <alignment horizontal="left"/>
    </xf>
    <xf numFmtId="0" fontId="22" fillId="0" borderId="0" xfId="0" applyFont="1" applyAlignment="1">
      <alignment horizontal="left"/>
    </xf>
    <xf numFmtId="0" fontId="22" fillId="0" borderId="20" xfId="0" applyFont="1" applyBorder="1"/>
    <xf numFmtId="0" fontId="22" fillId="0" borderId="21" xfId="0" applyFont="1" applyBorder="1"/>
    <xf numFmtId="0" fontId="22" fillId="0" borderId="12" xfId="0" applyFont="1" applyBorder="1"/>
    <xf numFmtId="9" fontId="22" fillId="0" borderId="0" xfId="0" applyNumberFormat="1" applyFont="1" applyAlignment="1">
      <alignment horizontal="center"/>
    </xf>
    <xf numFmtId="0" fontId="22" fillId="0" borderId="0" xfId="0" applyFont="1" applyAlignment="1">
      <alignment horizontal="center"/>
    </xf>
    <xf numFmtId="0" fontId="22" fillId="0" borderId="13" xfId="0" applyFont="1" applyBorder="1" applyAlignment="1">
      <alignment horizontal="center"/>
    </xf>
    <xf numFmtId="0" fontId="25" fillId="0" borderId="12" xfId="0" applyFont="1" applyBorder="1"/>
    <xf numFmtId="0" fontId="22" fillId="0" borderId="14" xfId="0" applyFont="1" applyBorder="1"/>
    <xf numFmtId="0" fontId="22" fillId="0" borderId="15" xfId="0" applyFont="1" applyBorder="1"/>
    <xf numFmtId="0" fontId="22" fillId="0" borderId="16" xfId="0" applyFont="1" applyBorder="1"/>
    <xf numFmtId="0" fontId="26" fillId="0" borderId="0" xfId="0" applyFont="1"/>
    <xf numFmtId="0" fontId="26" fillId="0" borderId="15" xfId="0" applyFont="1" applyBorder="1"/>
    <xf numFmtId="0" fontId="22" fillId="0" borderId="18" xfId="0" applyFont="1" applyBorder="1"/>
    <xf numFmtId="0" fontId="28" fillId="4" borderId="12" xfId="2" applyFont="1" applyFill="1" applyBorder="1" applyAlignment="1">
      <alignment horizontal="left" vertical="center" wrapText="1"/>
    </xf>
    <xf numFmtId="1" fontId="22" fillId="4" borderId="0" xfId="3" applyNumberFormat="1" applyFont="1" applyFill="1" applyAlignment="1">
      <alignment horizontal="left" vertical="top"/>
    </xf>
    <xf numFmtId="0" fontId="29" fillId="4" borderId="0" xfId="3" applyFont="1" applyFill="1" applyAlignment="1">
      <alignment horizontal="center" vertical="center"/>
    </xf>
    <xf numFmtId="0" fontId="22" fillId="4" borderId="0" xfId="3" applyFont="1" applyFill="1" applyAlignment="1">
      <alignment horizontal="center" vertical="center"/>
    </xf>
    <xf numFmtId="0" fontId="30" fillId="3" borderId="0" xfId="2" applyFont="1" applyFill="1" applyAlignment="1">
      <alignment horizontal="left" vertical="center" wrapText="1"/>
    </xf>
    <xf numFmtId="0" fontId="31" fillId="3" borderId="0" xfId="2" applyFont="1" applyFill="1" applyAlignment="1">
      <alignment horizontal="center" vertical="center" wrapText="1"/>
    </xf>
    <xf numFmtId="166" fontId="30" fillId="3" borderId="0" xfId="2" applyNumberFormat="1" applyFont="1" applyFill="1" applyAlignment="1">
      <alignment horizontal="center" vertical="center" wrapText="1"/>
    </xf>
    <xf numFmtId="0" fontId="30" fillId="3" borderId="13" xfId="2" applyFont="1" applyFill="1" applyBorder="1" applyAlignment="1">
      <alignment horizontal="center" vertical="center" wrapText="1"/>
    </xf>
    <xf numFmtId="0" fontId="26" fillId="4" borderId="12" xfId="3" applyFont="1" applyFill="1" applyBorder="1" applyAlignment="1">
      <alignment horizontal="left" vertical="center" wrapText="1"/>
    </xf>
    <xf numFmtId="0" fontId="33" fillId="4" borderId="0" xfId="3" applyFont="1" applyFill="1" applyAlignment="1">
      <alignment horizontal="left" vertical="center" wrapText="1"/>
    </xf>
    <xf numFmtId="0" fontId="34" fillId="4" borderId="0" xfId="3" applyFont="1" applyFill="1" applyAlignment="1">
      <alignment horizontal="left" vertical="center" wrapText="1"/>
    </xf>
    <xf numFmtId="0" fontId="33" fillId="4" borderId="0" xfId="3" applyFont="1" applyFill="1" applyAlignment="1">
      <alignment horizontal="center" vertical="center" wrapText="1"/>
    </xf>
    <xf numFmtId="0" fontId="30" fillId="3" borderId="0" xfId="3" applyFont="1" applyFill="1" applyAlignment="1">
      <alignment horizontal="left" vertical="center" wrapText="1"/>
    </xf>
    <xf numFmtId="0" fontId="31" fillId="3" borderId="0" xfId="3" applyFont="1" applyFill="1" applyAlignment="1">
      <alignment horizontal="left" vertical="center" wrapText="1"/>
    </xf>
    <xf numFmtId="0" fontId="30" fillId="3" borderId="13" xfId="3" applyFont="1" applyFill="1" applyBorder="1" applyAlignment="1">
      <alignment horizontal="center" vertical="center" wrapText="1"/>
    </xf>
    <xf numFmtId="0" fontId="22" fillId="4" borderId="0" xfId="2" applyFont="1" applyFill="1"/>
    <xf numFmtId="0" fontId="22" fillId="4" borderId="0" xfId="2" applyFont="1" applyFill="1" applyAlignment="1">
      <alignment horizontal="left"/>
    </xf>
    <xf numFmtId="0" fontId="22" fillId="4" borderId="0" xfId="2" applyFont="1" applyFill="1" applyAlignment="1">
      <alignment horizontal="center"/>
    </xf>
    <xf numFmtId="0" fontId="23" fillId="4" borderId="0" xfId="2" applyFont="1" applyFill="1" applyAlignment="1">
      <alignment horizontal="center" vertical="center" wrapText="1"/>
    </xf>
    <xf numFmtId="0" fontId="22" fillId="5" borderId="0" xfId="2" applyFont="1" applyFill="1" applyAlignment="1">
      <alignment horizontal="left" vertical="center" wrapText="1"/>
    </xf>
    <xf numFmtId="0" fontId="22" fillId="4" borderId="0" xfId="2" applyFont="1" applyFill="1" applyAlignment="1">
      <alignment horizontal="left" vertical="center" wrapText="1"/>
    </xf>
    <xf numFmtId="4" fontId="22" fillId="4" borderId="0" xfId="2" applyNumberFormat="1" applyFont="1" applyFill="1"/>
    <xf numFmtId="17" fontId="22" fillId="4" borderId="0" xfId="2" applyNumberFormat="1" applyFont="1" applyFill="1" applyAlignment="1">
      <alignment horizontal="center"/>
    </xf>
    <xf numFmtId="167" fontId="22" fillId="0" borderId="0" xfId="4" applyNumberFormat="1" applyFont="1" applyFill="1" applyBorder="1" applyAlignment="1">
      <alignment horizontal="center"/>
    </xf>
    <xf numFmtId="167" fontId="36" fillId="0" borderId="0" xfId="4" applyNumberFormat="1" applyFont="1" applyFill="1" applyBorder="1" applyAlignment="1">
      <alignment horizontal="center"/>
    </xf>
    <xf numFmtId="0" fontId="27" fillId="4" borderId="0" xfId="2" applyFont="1" applyFill="1"/>
    <xf numFmtId="0" fontId="26" fillId="4" borderId="0" xfId="2" applyFont="1" applyFill="1"/>
    <xf numFmtId="0" fontId="26" fillId="4" borderId="0" xfId="2" applyFont="1" applyFill="1" applyAlignment="1">
      <alignment horizontal="left"/>
    </xf>
    <xf numFmtId="0" fontId="26" fillId="4" borderId="0" xfId="2" applyFont="1" applyFill="1" applyAlignment="1">
      <alignment horizontal="center"/>
    </xf>
    <xf numFmtId="0" fontId="22" fillId="0" borderId="0" xfId="2" applyFont="1" applyAlignment="1">
      <alignment horizontal="left" wrapText="1"/>
    </xf>
    <xf numFmtId="0" fontId="23" fillId="4" borderId="15" xfId="2" applyFont="1" applyFill="1" applyBorder="1"/>
    <xf numFmtId="0" fontId="22" fillId="4" borderId="15" xfId="2" applyFont="1" applyFill="1" applyBorder="1"/>
    <xf numFmtId="0" fontId="22" fillId="4" borderId="15" xfId="2" applyFont="1" applyFill="1" applyBorder="1" applyAlignment="1">
      <alignment horizontal="left"/>
    </xf>
    <xf numFmtId="0" fontId="22" fillId="4" borderId="15" xfId="2" applyFont="1" applyFill="1" applyBorder="1" applyAlignment="1">
      <alignment horizontal="center"/>
    </xf>
    <xf numFmtId="0" fontId="22" fillId="0" borderId="15" xfId="2" applyFont="1" applyBorder="1" applyAlignment="1">
      <alignment horizontal="left" wrapText="1"/>
    </xf>
    <xf numFmtId="0" fontId="35" fillId="6" borderId="36" xfId="2" applyFont="1" applyFill="1" applyBorder="1" applyAlignment="1">
      <alignment horizontal="center" vertical="center"/>
    </xf>
    <xf numFmtId="0" fontId="35" fillId="6" borderId="37" xfId="2" applyFont="1" applyFill="1" applyBorder="1" applyAlignment="1">
      <alignment horizontal="center" vertical="center"/>
    </xf>
    <xf numFmtId="0" fontId="21" fillId="6" borderId="38" xfId="2" applyFont="1" applyFill="1" applyBorder="1" applyAlignment="1">
      <alignment horizontal="center" vertical="center"/>
    </xf>
    <xf numFmtId="0" fontId="35" fillId="6" borderId="23" xfId="2" applyFont="1" applyFill="1" applyBorder="1" applyAlignment="1">
      <alignment horizontal="center" vertical="center"/>
    </xf>
    <xf numFmtId="0" fontId="35" fillId="7" borderId="23" xfId="2" applyFont="1" applyFill="1" applyBorder="1" applyAlignment="1">
      <alignment horizontal="center" vertical="center"/>
    </xf>
    <xf numFmtId="0" fontId="35" fillId="8" borderId="39" xfId="2" applyFont="1" applyFill="1" applyBorder="1" applyAlignment="1">
      <alignment horizontal="center" vertical="center"/>
    </xf>
    <xf numFmtId="0" fontId="23" fillId="6" borderId="36" xfId="2" applyFont="1" applyFill="1" applyBorder="1" applyAlignment="1">
      <alignment horizontal="center" vertical="center" wrapText="1"/>
    </xf>
    <xf numFmtId="0" fontId="23" fillId="6" borderId="37" xfId="2" applyFont="1" applyFill="1" applyBorder="1" applyAlignment="1">
      <alignment horizontal="center" vertical="center" wrapText="1"/>
    </xf>
    <xf numFmtId="0" fontId="24" fillId="0" borderId="10" xfId="1" quotePrefix="1" applyNumberFormat="1" applyFont="1" applyBorder="1" applyAlignment="1">
      <alignment horizontal="center"/>
    </xf>
    <xf numFmtId="0" fontId="22" fillId="0" borderId="33" xfId="0" applyFont="1" applyBorder="1"/>
    <xf numFmtId="0" fontId="22" fillId="0" borderId="34" xfId="0" applyFont="1" applyBorder="1"/>
    <xf numFmtId="0" fontId="0" fillId="0" borderId="12" xfId="0" applyBorder="1"/>
    <xf numFmtId="0" fontId="0" fillId="0" borderId="14" xfId="0" applyBorder="1"/>
    <xf numFmtId="0" fontId="0" fillId="0" borderId="15" xfId="0" applyBorder="1"/>
    <xf numFmtId="0" fontId="0" fillId="0" borderId="16" xfId="0" applyBorder="1"/>
    <xf numFmtId="0" fontId="10" fillId="0" borderId="0" xfId="0" applyFont="1"/>
    <xf numFmtId="0" fontId="35" fillId="12" borderId="23" xfId="2" applyFont="1" applyFill="1" applyBorder="1" applyAlignment="1">
      <alignment horizontal="center" vertical="center"/>
    </xf>
    <xf numFmtId="0" fontId="22" fillId="0" borderId="0" xfId="0" applyFont="1" applyAlignment="1">
      <alignment vertical="center" wrapText="1"/>
    </xf>
    <xf numFmtId="0" fontId="22" fillId="0" borderId="13" xfId="0" applyFont="1" applyBorder="1" applyAlignment="1">
      <alignment vertical="center" wrapText="1"/>
    </xf>
    <xf numFmtId="0" fontId="22" fillId="0" borderId="15" xfId="0" applyFont="1" applyBorder="1" applyAlignment="1">
      <alignment vertical="center" wrapText="1"/>
    </xf>
    <xf numFmtId="14" fontId="24" fillId="3" borderId="6" xfId="0" applyNumberFormat="1" applyFont="1" applyFill="1" applyBorder="1" applyAlignment="1">
      <alignment horizontal="center" vertical="center"/>
    </xf>
    <xf numFmtId="0" fontId="10" fillId="0" borderId="0" xfId="8"/>
    <xf numFmtId="0" fontId="42" fillId="5" borderId="23" xfId="2" applyFont="1" applyFill="1" applyBorder="1" applyAlignment="1">
      <alignment horizontal="left" vertical="center" wrapText="1"/>
    </xf>
    <xf numFmtId="0" fontId="42" fillId="5" borderId="39" xfId="2" applyFont="1" applyFill="1" applyBorder="1" applyAlignment="1">
      <alignment horizontal="left" vertical="center" wrapText="1"/>
    </xf>
    <xf numFmtId="1" fontId="24" fillId="4" borderId="31" xfId="2" applyNumberFormat="1" applyFont="1" applyFill="1" applyBorder="1" applyAlignment="1">
      <alignment horizontal="center" vertical="center"/>
    </xf>
    <xf numFmtId="1" fontId="24" fillId="4" borderId="40" xfId="2" applyNumberFormat="1" applyFont="1" applyFill="1" applyBorder="1" applyAlignment="1">
      <alignment horizontal="center" vertical="center"/>
    </xf>
    <xf numFmtId="166" fontId="24" fillId="3" borderId="31" xfId="2" applyNumberFormat="1" applyFont="1" applyFill="1" applyBorder="1" applyAlignment="1">
      <alignment horizontal="center" vertical="center"/>
    </xf>
    <xf numFmtId="0" fontId="10" fillId="3" borderId="0" xfId="8" applyFill="1" applyAlignment="1">
      <alignment horizontal="center"/>
    </xf>
    <xf numFmtId="0" fontId="45" fillId="3" borderId="0" xfId="8" applyFont="1" applyFill="1" applyAlignment="1">
      <alignment horizontal="center" vertical="center" wrapText="1" readingOrder="1"/>
    </xf>
    <xf numFmtId="0" fontId="10" fillId="3" borderId="0" xfId="8" applyFill="1"/>
    <xf numFmtId="0" fontId="48" fillId="3" borderId="0" xfId="8" applyFont="1" applyFill="1"/>
    <xf numFmtId="0" fontId="48" fillId="14" borderId="0" xfId="8" applyFont="1" applyFill="1"/>
    <xf numFmtId="0" fontId="46" fillId="13" borderId="55" xfId="8" applyFont="1" applyFill="1" applyBorder="1" applyAlignment="1">
      <alignment horizontal="center" vertical="center" wrapText="1"/>
    </xf>
    <xf numFmtId="0" fontId="47" fillId="13" borderId="55" xfId="8" applyFont="1" applyFill="1" applyBorder="1" applyAlignment="1">
      <alignment horizontal="center" vertical="center" wrapText="1"/>
    </xf>
    <xf numFmtId="0" fontId="47" fillId="3" borderId="55" xfId="8" applyFont="1" applyFill="1" applyBorder="1" applyAlignment="1">
      <alignment horizontal="center" vertical="center" wrapText="1"/>
    </xf>
    <xf numFmtId="0" fontId="46" fillId="0" borderId="0" xfId="8" applyFont="1" applyAlignment="1">
      <alignment horizontal="center" vertical="center" wrapText="1"/>
    </xf>
    <xf numFmtId="0" fontId="47" fillId="0" borderId="0" xfId="8" applyFont="1" applyAlignment="1">
      <alignment horizontal="center" vertical="center" wrapText="1"/>
    </xf>
    <xf numFmtId="0" fontId="47" fillId="3" borderId="0" xfId="8" applyFont="1" applyFill="1" applyAlignment="1">
      <alignment horizontal="center" vertical="center" wrapText="1"/>
    </xf>
    <xf numFmtId="14" fontId="46" fillId="3" borderId="0" xfId="8" applyNumberFormat="1" applyFont="1" applyFill="1" applyAlignment="1">
      <alignment horizontal="center" vertical="center" wrapText="1"/>
    </xf>
    <xf numFmtId="10" fontId="46" fillId="13" borderId="62" xfId="8" applyNumberFormat="1" applyFont="1" applyFill="1" applyBorder="1" applyAlignment="1">
      <alignment horizontal="center" vertical="center" wrapText="1"/>
    </xf>
    <xf numFmtId="0" fontId="26" fillId="3" borderId="0" xfId="8" applyFont="1" applyFill="1"/>
    <xf numFmtId="0" fontId="26" fillId="0" borderId="0" xfId="8" applyFont="1"/>
    <xf numFmtId="0" fontId="42" fillId="3" borderId="31" xfId="2" applyFont="1" applyFill="1" applyBorder="1" applyAlignment="1">
      <alignment horizontal="left" vertical="center" wrapText="1"/>
    </xf>
    <xf numFmtId="0" fontId="42" fillId="3" borderId="31" xfId="2" quotePrefix="1" applyFont="1" applyFill="1" applyBorder="1" applyAlignment="1">
      <alignment horizontal="center" vertical="center" wrapText="1"/>
    </xf>
    <xf numFmtId="1" fontId="24" fillId="3" borderId="31" xfId="2" applyNumberFormat="1" applyFont="1" applyFill="1" applyBorder="1" applyAlignment="1">
      <alignment horizontal="center" vertical="center"/>
    </xf>
    <xf numFmtId="0" fontId="42" fillId="3" borderId="40" xfId="2" applyFont="1" applyFill="1" applyBorder="1" applyAlignment="1">
      <alignment horizontal="left" vertical="center" wrapText="1"/>
    </xf>
    <xf numFmtId="0" fontId="47" fillId="0" borderId="66" xfId="8" applyFont="1" applyBorder="1" applyAlignment="1">
      <alignment horizontal="center" vertical="center" wrapText="1"/>
    </xf>
    <xf numFmtId="0" fontId="47" fillId="0" borderId="67" xfId="8" applyFont="1" applyBorder="1" applyAlignment="1">
      <alignment horizontal="center" vertical="center" wrapText="1"/>
    </xf>
    <xf numFmtId="166" fontId="24" fillId="4" borderId="31" xfId="2" applyNumberFormat="1" applyFont="1" applyFill="1" applyBorder="1" applyAlignment="1">
      <alignment horizontal="center" vertical="center"/>
    </xf>
    <xf numFmtId="0" fontId="22" fillId="0" borderId="32" xfId="0" applyFont="1" applyBorder="1" applyAlignment="1">
      <alignment vertical="center"/>
    </xf>
    <xf numFmtId="0" fontId="22" fillId="0" borderId="17" xfId="0" applyFont="1" applyBorder="1" applyAlignment="1">
      <alignment vertical="center"/>
    </xf>
    <xf numFmtId="14" fontId="0" fillId="17" borderId="31" xfId="0" applyNumberFormat="1" applyFill="1" applyBorder="1" applyAlignment="1">
      <alignment horizontal="center" vertical="center"/>
    </xf>
    <xf numFmtId="0" fontId="0" fillId="0" borderId="0" xfId="0" applyAlignment="1">
      <alignment horizontal="center"/>
    </xf>
    <xf numFmtId="0" fontId="55" fillId="18" borderId="0" xfId="0" applyFont="1" applyFill="1" applyAlignment="1">
      <alignment wrapText="1"/>
    </xf>
    <xf numFmtId="0" fontId="56" fillId="18" borderId="0" xfId="0" applyFont="1" applyFill="1" applyAlignment="1">
      <alignment wrapText="1"/>
    </xf>
    <xf numFmtId="0" fontId="57" fillId="20" borderId="70" xfId="0" applyFont="1" applyFill="1" applyBorder="1" applyAlignment="1">
      <alignment wrapText="1"/>
    </xf>
    <xf numFmtId="0" fontId="57" fillId="20" borderId="49" xfId="0" applyFont="1" applyFill="1" applyBorder="1" applyAlignment="1">
      <alignment wrapText="1"/>
    </xf>
    <xf numFmtId="0" fontId="57" fillId="20" borderId="71" xfId="0" applyFont="1" applyFill="1" applyBorder="1" applyAlignment="1">
      <alignment wrapText="1"/>
    </xf>
    <xf numFmtId="0" fontId="57" fillId="20" borderId="47" xfId="0" applyFont="1" applyFill="1" applyBorder="1" applyAlignment="1">
      <alignment wrapText="1"/>
    </xf>
    <xf numFmtId="0" fontId="56" fillId="18" borderId="71" xfId="0" applyFont="1" applyFill="1" applyBorder="1" applyAlignment="1">
      <alignment horizontal="center" wrapText="1"/>
    </xf>
    <xf numFmtId="0" fontId="56" fillId="18" borderId="47" xfId="0" applyFont="1" applyFill="1" applyBorder="1" applyAlignment="1">
      <alignment horizontal="center" wrapText="1"/>
    </xf>
    <xf numFmtId="0" fontId="0" fillId="0" borderId="0" xfId="0" applyAlignment="1">
      <alignment horizontal="left"/>
    </xf>
    <xf numFmtId="0" fontId="57" fillId="20" borderId="31" xfId="0" applyFont="1" applyFill="1" applyBorder="1" applyAlignment="1">
      <alignment vertical="center" wrapText="1"/>
    </xf>
    <xf numFmtId="9" fontId="55" fillId="20" borderId="31" xfId="9" applyFont="1" applyFill="1" applyBorder="1" applyAlignment="1">
      <alignment vertical="center"/>
    </xf>
    <xf numFmtId="9" fontId="55" fillId="9" borderId="31" xfId="9" applyFont="1" applyFill="1" applyBorder="1" applyAlignment="1">
      <alignment horizontal="center" vertical="center"/>
    </xf>
    <xf numFmtId="0" fontId="54" fillId="16" borderId="31" xfId="0" applyFont="1" applyFill="1" applyBorder="1" applyAlignment="1">
      <alignment horizontal="center" vertical="center" wrapText="1"/>
    </xf>
    <xf numFmtId="0" fontId="52" fillId="16" borderId="31" xfId="0" applyFont="1" applyFill="1" applyBorder="1" applyAlignment="1">
      <alignment wrapText="1"/>
    </xf>
    <xf numFmtId="14" fontId="53" fillId="16" borderId="31" xfId="0" applyNumberFormat="1" applyFont="1" applyFill="1" applyBorder="1"/>
    <xf numFmtId="0" fontId="54" fillId="16" borderId="31" xfId="0" applyFont="1" applyFill="1" applyBorder="1"/>
    <xf numFmtId="14" fontId="0" fillId="3" borderId="31" xfId="0" applyNumberFormat="1" applyFill="1" applyBorder="1" applyAlignment="1">
      <alignment horizontal="center" vertical="center"/>
    </xf>
    <xf numFmtId="0" fontId="0" fillId="16" borderId="31" xfId="0" applyFill="1" applyBorder="1"/>
    <xf numFmtId="0" fontId="0" fillId="3" borderId="0" xfId="0" applyFill="1"/>
    <xf numFmtId="0" fontId="0" fillId="3" borderId="31" xfId="0" applyFill="1" applyBorder="1"/>
    <xf numFmtId="0" fontId="0" fillId="0" borderId="31" xfId="0" applyBorder="1"/>
    <xf numFmtId="0" fontId="52" fillId="16" borderId="69" xfId="0" applyFont="1" applyFill="1" applyBorder="1" applyAlignment="1">
      <alignment wrapText="1"/>
    </xf>
    <xf numFmtId="0" fontId="0" fillId="17" borderId="0" xfId="0" applyFill="1" applyAlignment="1">
      <alignment vertical="center"/>
    </xf>
    <xf numFmtId="14" fontId="52" fillId="16" borderId="0" xfId="0" applyNumberFormat="1" applyFont="1" applyFill="1"/>
    <xf numFmtId="0" fontId="54" fillId="16" borderId="0" xfId="0" applyFont="1" applyFill="1" applyAlignment="1">
      <alignment wrapText="1"/>
    </xf>
    <xf numFmtId="14" fontId="0" fillId="17" borderId="0" xfId="0" applyNumberFormat="1" applyFill="1" applyAlignment="1">
      <alignment horizontal="center" vertical="center"/>
    </xf>
    <xf numFmtId="0" fontId="54" fillId="16" borderId="0" xfId="0" applyFont="1" applyFill="1"/>
    <xf numFmtId="0" fontId="54" fillId="18" borderId="0" xfId="0" applyFont="1" applyFill="1" applyAlignment="1">
      <alignment horizontal="center"/>
    </xf>
    <xf numFmtId="0" fontId="52" fillId="16" borderId="0" xfId="0" applyFont="1" applyFill="1" applyAlignment="1">
      <alignment wrapText="1"/>
    </xf>
    <xf numFmtId="0" fontId="0" fillId="16" borderId="31" xfId="0" applyFill="1" applyBorder="1" applyAlignment="1">
      <alignment horizontal="center"/>
    </xf>
    <xf numFmtId="0" fontId="54" fillId="16" borderId="31" xfId="0" applyFont="1" applyFill="1" applyBorder="1" applyAlignment="1">
      <alignment horizontal="center"/>
    </xf>
    <xf numFmtId="0" fontId="60" fillId="3" borderId="0" xfId="0" applyFont="1" applyFill="1" applyAlignment="1">
      <alignment vertical="center"/>
    </xf>
    <xf numFmtId="14" fontId="60" fillId="19" borderId="0" xfId="0" applyNumberFormat="1" applyFont="1" applyFill="1" applyAlignment="1">
      <alignment horizontal="center" vertical="center"/>
    </xf>
    <xf numFmtId="0" fontId="54" fillId="16" borderId="0" xfId="0" applyFont="1" applyFill="1" applyAlignment="1">
      <alignment horizontal="center"/>
    </xf>
    <xf numFmtId="14" fontId="60" fillId="3" borderId="31" xfId="0" applyNumberFormat="1" applyFont="1" applyFill="1" applyBorder="1" applyAlignment="1">
      <alignment horizontal="center" vertical="center"/>
    </xf>
    <xf numFmtId="14" fontId="60" fillId="3" borderId="0" xfId="0" applyNumberFormat="1" applyFont="1" applyFill="1" applyAlignment="1">
      <alignment horizontal="center" vertical="center"/>
    </xf>
    <xf numFmtId="0" fontId="52" fillId="16" borderId="31" xfId="0" applyFont="1" applyFill="1" applyBorder="1" applyAlignment="1">
      <alignment horizontal="center" vertical="center" wrapText="1"/>
    </xf>
    <xf numFmtId="0" fontId="52" fillId="16" borderId="31" xfId="0" applyFont="1" applyFill="1" applyBorder="1" applyAlignment="1">
      <alignment horizontal="center" wrapText="1"/>
    </xf>
    <xf numFmtId="14" fontId="62" fillId="3" borderId="31" xfId="0" applyNumberFormat="1" applyFont="1" applyFill="1" applyBorder="1" applyAlignment="1">
      <alignment horizontal="center" vertical="center"/>
    </xf>
    <xf numFmtId="0" fontId="63" fillId="3" borderId="31" xfId="0" applyFont="1" applyFill="1" applyBorder="1" applyAlignment="1">
      <alignment horizontal="center" vertical="center" wrapText="1"/>
    </xf>
    <xf numFmtId="0" fontId="60" fillId="19" borderId="31" xfId="0" applyFont="1" applyFill="1" applyBorder="1" applyAlignment="1">
      <alignment horizontal="center" vertical="center"/>
    </xf>
    <xf numFmtId="0" fontId="63" fillId="3" borderId="72" xfId="0" applyFont="1" applyFill="1" applyBorder="1" applyAlignment="1">
      <alignment horizontal="center" vertical="center" wrapText="1"/>
    </xf>
    <xf numFmtId="0" fontId="63" fillId="3" borderId="70" xfId="0" applyFont="1" applyFill="1" applyBorder="1" applyAlignment="1">
      <alignment horizontal="center" vertical="center" wrapText="1"/>
    </xf>
    <xf numFmtId="14" fontId="53" fillId="3" borderId="31" xfId="0" applyNumberFormat="1" applyFont="1" applyFill="1" applyBorder="1" applyAlignment="1">
      <alignment horizontal="center"/>
    </xf>
    <xf numFmtId="14" fontId="54" fillId="3" borderId="31" xfId="0" applyNumberFormat="1" applyFont="1" applyFill="1" applyBorder="1" applyAlignment="1">
      <alignment horizontal="center" wrapText="1"/>
    </xf>
    <xf numFmtId="0" fontId="53" fillId="3" borderId="31" xfId="0" applyFont="1" applyFill="1" applyBorder="1" applyAlignment="1">
      <alignment horizontal="center"/>
    </xf>
    <xf numFmtId="0" fontId="51" fillId="15" borderId="31" xfId="0" applyFont="1" applyFill="1" applyBorder="1" applyAlignment="1">
      <alignment horizontal="center" vertical="center" wrapText="1"/>
    </xf>
    <xf numFmtId="0" fontId="65" fillId="3" borderId="31" xfId="0" applyFont="1" applyFill="1" applyBorder="1"/>
    <xf numFmtId="14" fontId="65" fillId="3" borderId="31" xfId="0" applyNumberFormat="1" applyFont="1" applyFill="1" applyBorder="1"/>
    <xf numFmtId="14" fontId="42" fillId="3" borderId="31" xfId="0" applyNumberFormat="1" applyFont="1" applyFill="1" applyBorder="1"/>
    <xf numFmtId="0" fontId="10" fillId="3" borderId="0" xfId="0" applyFont="1" applyFill="1"/>
    <xf numFmtId="0" fontId="62" fillId="0" borderId="0" xfId="0" applyFont="1"/>
    <xf numFmtId="0" fontId="67" fillId="15" borderId="31" xfId="0" applyFont="1" applyFill="1" applyBorder="1" applyAlignment="1">
      <alignment horizontal="center" vertical="center" wrapText="1"/>
    </xf>
    <xf numFmtId="0" fontId="53" fillId="16" borderId="31" xfId="0" applyFont="1" applyFill="1" applyBorder="1" applyAlignment="1">
      <alignment horizontal="center" vertical="center" wrapText="1"/>
    </xf>
    <xf numFmtId="0" fontId="68" fillId="16" borderId="31" xfId="0" applyFont="1" applyFill="1" applyBorder="1" applyAlignment="1">
      <alignment horizontal="left" vertical="center" wrapText="1"/>
    </xf>
    <xf numFmtId="0" fontId="68" fillId="16" borderId="31" xfId="0" applyFont="1" applyFill="1" applyBorder="1" applyAlignment="1">
      <alignment horizontal="center" vertical="center" wrapText="1"/>
    </xf>
    <xf numFmtId="14" fontId="68" fillId="17" borderId="31" xfId="0" applyNumberFormat="1" applyFont="1" applyFill="1" applyBorder="1" applyAlignment="1">
      <alignment horizontal="center" vertical="center"/>
    </xf>
    <xf numFmtId="0" fontId="53" fillId="16" borderId="31" xfId="0" applyFont="1" applyFill="1" applyBorder="1" applyAlignment="1">
      <alignment horizontal="center" wrapText="1"/>
    </xf>
    <xf numFmtId="0" fontId="69" fillId="3" borderId="31" xfId="0" applyFont="1" applyFill="1" applyBorder="1" applyAlignment="1">
      <alignment vertical="center"/>
    </xf>
    <xf numFmtId="14" fontId="68" fillId="3" borderId="31" xfId="0" applyNumberFormat="1" applyFont="1" applyFill="1" applyBorder="1" applyAlignment="1">
      <alignment horizontal="center" vertical="center"/>
    </xf>
    <xf numFmtId="0" fontId="68" fillId="16" borderId="31" xfId="0" applyFont="1" applyFill="1" applyBorder="1"/>
    <xf numFmtId="0" fontId="68" fillId="16" borderId="31" xfId="0" applyFont="1" applyFill="1" applyBorder="1" applyAlignment="1">
      <alignment horizontal="center"/>
    </xf>
    <xf numFmtId="0" fontId="68" fillId="0" borderId="0" xfId="0" applyFont="1"/>
    <xf numFmtId="14" fontId="68" fillId="19" borderId="31" xfId="0" applyNumberFormat="1" applyFont="1" applyFill="1" applyBorder="1" applyAlignment="1">
      <alignment horizontal="center" vertical="center"/>
    </xf>
    <xf numFmtId="14" fontId="69" fillId="17" borderId="31" xfId="0" applyNumberFormat="1" applyFont="1" applyFill="1" applyBorder="1" applyAlignment="1">
      <alignment horizontal="center" vertical="center"/>
    </xf>
    <xf numFmtId="0" fontId="68" fillId="3" borderId="31" xfId="0" applyFont="1" applyFill="1" applyBorder="1"/>
    <xf numFmtId="0" fontId="69" fillId="17" borderId="31" xfId="0" applyFont="1" applyFill="1" applyBorder="1" applyAlignment="1">
      <alignment horizontal="left" vertical="center"/>
    </xf>
    <xf numFmtId="14" fontId="53" fillId="3" borderId="31" xfId="0" applyNumberFormat="1" applyFont="1" applyFill="1" applyBorder="1"/>
    <xf numFmtId="0" fontId="69" fillId="19" borderId="31" xfId="0" applyFont="1" applyFill="1" applyBorder="1" applyAlignment="1">
      <alignment vertical="center"/>
    </xf>
    <xf numFmtId="14" fontId="69" fillId="19" borderId="31" xfId="0" applyNumberFormat="1" applyFont="1" applyFill="1" applyBorder="1" applyAlignment="1">
      <alignment horizontal="center" vertical="center"/>
    </xf>
    <xf numFmtId="0" fontId="69" fillId="17" borderId="31" xfId="0" applyFont="1" applyFill="1" applyBorder="1" applyAlignment="1">
      <alignment vertical="center"/>
    </xf>
    <xf numFmtId="14" fontId="68" fillId="3" borderId="31" xfId="0" applyNumberFormat="1" applyFont="1" applyFill="1" applyBorder="1"/>
    <xf numFmtId="0" fontId="53" fillId="16" borderId="0" xfId="0" applyFont="1" applyFill="1" applyAlignment="1">
      <alignment horizontal="center" wrapText="1"/>
    </xf>
    <xf numFmtId="0" fontId="69" fillId="3" borderId="0" xfId="0" applyFont="1" applyFill="1" applyAlignment="1">
      <alignment vertical="center"/>
    </xf>
    <xf numFmtId="14" fontId="69" fillId="19" borderId="0" xfId="0" applyNumberFormat="1" applyFont="1" applyFill="1" applyAlignment="1">
      <alignment horizontal="center" vertical="center"/>
    </xf>
    <xf numFmtId="0" fontId="68" fillId="16" borderId="0" xfId="0" applyFont="1" applyFill="1" applyAlignment="1">
      <alignment wrapText="1"/>
    </xf>
    <xf numFmtId="14" fontId="68" fillId="17" borderId="0" xfId="0" applyNumberFormat="1" applyFont="1" applyFill="1" applyAlignment="1">
      <alignment horizontal="center" vertical="center"/>
    </xf>
    <xf numFmtId="0" fontId="68" fillId="16" borderId="0" xfId="0" applyFont="1" applyFill="1"/>
    <xf numFmtId="0" fontId="68" fillId="16" borderId="0" xfId="0" applyFont="1" applyFill="1" applyAlignment="1">
      <alignment horizontal="center"/>
    </xf>
    <xf numFmtId="0" fontId="70" fillId="19" borderId="31" xfId="0" applyFont="1" applyFill="1" applyBorder="1" applyAlignment="1">
      <alignment vertical="center"/>
    </xf>
    <xf numFmtId="14" fontId="71" fillId="19" borderId="31" xfId="0" applyNumberFormat="1" applyFont="1" applyFill="1" applyBorder="1" applyAlignment="1">
      <alignment horizontal="center" vertical="center"/>
    </xf>
    <xf numFmtId="0" fontId="70" fillId="3" borderId="31" xfId="0" applyFont="1" applyFill="1" applyBorder="1" applyAlignment="1">
      <alignment vertical="center"/>
    </xf>
    <xf numFmtId="14" fontId="71" fillId="17" borderId="31" xfId="0" applyNumberFormat="1" applyFont="1" applyFill="1" applyBorder="1" applyAlignment="1">
      <alignment horizontal="center" vertical="center"/>
    </xf>
    <xf numFmtId="14" fontId="71" fillId="3" borderId="31" xfId="0" applyNumberFormat="1" applyFont="1" applyFill="1" applyBorder="1" applyAlignment="1">
      <alignment horizontal="center" vertical="center"/>
    </xf>
    <xf numFmtId="0" fontId="70" fillId="17" borderId="31" xfId="0" applyFont="1" applyFill="1" applyBorder="1" applyAlignment="1">
      <alignment vertical="center"/>
    </xf>
    <xf numFmtId="0" fontId="69" fillId="3" borderId="31" xfId="0" applyFont="1" applyFill="1" applyBorder="1" applyAlignment="1">
      <alignment horizontal="left" vertical="center"/>
    </xf>
    <xf numFmtId="14" fontId="69" fillId="3" borderId="31" xfId="0" applyNumberFormat="1" applyFont="1" applyFill="1" applyBorder="1" applyAlignment="1">
      <alignment horizontal="center" vertical="center"/>
    </xf>
    <xf numFmtId="0" fontId="68" fillId="3" borderId="0" xfId="0" applyFont="1" applyFill="1"/>
    <xf numFmtId="14" fontId="53" fillId="16" borderId="31" xfId="0" applyNumberFormat="1" applyFont="1" applyFill="1" applyBorder="1" applyAlignment="1">
      <alignment horizontal="center" vertical="center" wrapText="1"/>
    </xf>
    <xf numFmtId="0" fontId="68" fillId="16" borderId="31" xfId="0" applyFont="1" applyFill="1" applyBorder="1" applyAlignment="1">
      <alignment vertical="justify"/>
    </xf>
    <xf numFmtId="0" fontId="68" fillId="16" borderId="31" xfId="0" applyFont="1" applyFill="1" applyBorder="1" applyAlignment="1">
      <alignment horizontal="center" vertical="center"/>
    </xf>
    <xf numFmtId="0" fontId="70" fillId="3" borderId="31" xfId="0" applyFont="1" applyFill="1" applyBorder="1" applyAlignment="1">
      <alignment horizontal="left" vertical="center"/>
    </xf>
    <xf numFmtId="14" fontId="70" fillId="3" borderId="31" xfId="0" applyNumberFormat="1" applyFont="1" applyFill="1" applyBorder="1" applyAlignment="1">
      <alignment horizontal="center" vertical="center"/>
    </xf>
    <xf numFmtId="0" fontId="70" fillId="3" borderId="72" xfId="0" applyFont="1" applyFill="1" applyBorder="1" applyAlignment="1">
      <alignment vertical="center"/>
    </xf>
    <xf numFmtId="14" fontId="70" fillId="3" borderId="72" xfId="0" applyNumberFormat="1" applyFont="1" applyFill="1" applyBorder="1" applyAlignment="1">
      <alignment horizontal="center" vertical="center"/>
    </xf>
    <xf numFmtId="14" fontId="70" fillId="3" borderId="70" xfId="0" applyNumberFormat="1" applyFont="1" applyFill="1" applyBorder="1" applyAlignment="1">
      <alignment horizontal="center" vertical="center"/>
    </xf>
    <xf numFmtId="0" fontId="60" fillId="19" borderId="31" xfId="0" applyFont="1" applyFill="1" applyBorder="1" applyAlignment="1">
      <alignment vertical="justify"/>
    </xf>
    <xf numFmtId="0" fontId="52" fillId="16" borderId="0" xfId="0" applyFont="1" applyFill="1" applyAlignment="1">
      <alignment horizontal="center" wrapText="1"/>
    </xf>
    <xf numFmtId="0" fontId="70" fillId="3" borderId="0" xfId="0" applyFont="1" applyFill="1" applyAlignment="1">
      <alignment vertical="center"/>
    </xf>
    <xf numFmtId="14" fontId="70" fillId="3" borderId="0" xfId="0" applyNumberFormat="1" applyFont="1" applyFill="1" applyAlignment="1">
      <alignment horizontal="center" vertical="center"/>
    </xf>
    <xf numFmtId="0" fontId="54" fillId="16" borderId="0" xfId="0" applyFont="1" applyFill="1" applyAlignment="1">
      <alignment horizontal="center" vertical="center" wrapText="1"/>
    </xf>
    <xf numFmtId="0" fontId="60" fillId="19" borderId="0" xfId="0" applyFont="1" applyFill="1" applyAlignment="1">
      <alignment horizontal="center" vertical="center"/>
    </xf>
    <xf numFmtId="0" fontId="52" fillId="16" borderId="0" xfId="0" applyFont="1" applyFill="1" applyAlignment="1">
      <alignment horizontal="center" vertical="center" wrapText="1"/>
    </xf>
    <xf numFmtId="14" fontId="54" fillId="16" borderId="31" xfId="0" applyNumberFormat="1" applyFont="1" applyFill="1" applyBorder="1" applyAlignment="1">
      <alignment horizontal="center" vertical="center" wrapText="1"/>
    </xf>
    <xf numFmtId="0" fontId="54" fillId="3" borderId="31" xfId="0" applyFont="1" applyFill="1" applyBorder="1"/>
    <xf numFmtId="0" fontId="54" fillId="0" borderId="31" xfId="0" applyFont="1" applyBorder="1"/>
    <xf numFmtId="14" fontId="54" fillId="3" borderId="31" xfId="0" applyNumberFormat="1" applyFont="1" applyFill="1" applyBorder="1" applyAlignment="1">
      <alignment horizontal="center" vertical="center"/>
    </xf>
    <xf numFmtId="0" fontId="73" fillId="3" borderId="31" xfId="0" applyFont="1" applyFill="1" applyBorder="1" applyAlignment="1">
      <alignment vertical="center"/>
    </xf>
    <xf numFmtId="14" fontId="73" fillId="3" borderId="31" xfId="0" applyNumberFormat="1" applyFont="1" applyFill="1" applyBorder="1" applyAlignment="1">
      <alignment horizontal="center" vertical="center"/>
    </xf>
    <xf numFmtId="0" fontId="73" fillId="19" borderId="31" xfId="0" applyFont="1" applyFill="1" applyBorder="1" applyAlignment="1">
      <alignment horizontal="center" vertical="center"/>
    </xf>
    <xf numFmtId="0" fontId="73" fillId="19" borderId="31" xfId="0" applyFont="1" applyFill="1" applyBorder="1" applyAlignment="1">
      <alignment vertical="justify"/>
    </xf>
    <xf numFmtId="0" fontId="73" fillId="3" borderId="31" xfId="0" applyFont="1" applyFill="1" applyBorder="1" applyAlignment="1">
      <alignment horizontal="left" vertical="center"/>
    </xf>
    <xf numFmtId="0" fontId="73" fillId="3" borderId="31" xfId="0" applyFont="1" applyFill="1" applyBorder="1" applyAlignment="1">
      <alignment horizontal="center" vertical="center" wrapText="1"/>
    </xf>
    <xf numFmtId="0" fontId="75" fillId="16" borderId="31" xfId="0" applyFont="1" applyFill="1" applyBorder="1" applyAlignment="1">
      <alignment horizontal="center" wrapText="1"/>
    </xf>
    <xf numFmtId="0" fontId="24" fillId="3" borderId="72" xfId="0" applyFont="1" applyFill="1" applyBorder="1" applyAlignment="1">
      <alignment vertical="center"/>
    </xf>
    <xf numFmtId="14" fontId="24" fillId="3" borderId="72" xfId="0" applyNumberFormat="1" applyFont="1" applyFill="1" applyBorder="1" applyAlignment="1">
      <alignment horizontal="center" vertical="center"/>
    </xf>
    <xf numFmtId="14" fontId="13" fillId="3" borderId="31" xfId="0" applyNumberFormat="1" applyFont="1" applyFill="1" applyBorder="1" applyAlignment="1">
      <alignment horizontal="center" vertical="center"/>
    </xf>
    <xf numFmtId="0" fontId="76" fillId="3" borderId="31" xfId="0" applyFont="1" applyFill="1" applyBorder="1" applyAlignment="1">
      <alignment horizontal="center" vertical="center" wrapText="1"/>
    </xf>
    <xf numFmtId="14" fontId="76" fillId="3" borderId="31" xfId="0" applyNumberFormat="1" applyFont="1" applyFill="1" applyBorder="1" applyAlignment="1">
      <alignment horizontal="center" vertical="center"/>
    </xf>
    <xf numFmtId="0" fontId="13" fillId="3" borderId="31" xfId="0" applyFont="1" applyFill="1" applyBorder="1"/>
    <xf numFmtId="0" fontId="24" fillId="3" borderId="31" xfId="0" applyFont="1" applyFill="1" applyBorder="1" applyAlignment="1">
      <alignment horizontal="left" vertical="center"/>
    </xf>
    <xf numFmtId="14" fontId="24" fillId="3" borderId="31" xfId="0" applyNumberFormat="1" applyFont="1" applyFill="1" applyBorder="1" applyAlignment="1">
      <alignment horizontal="center" vertical="center"/>
    </xf>
    <xf numFmtId="0" fontId="24" fillId="3" borderId="72" xfId="0" applyFont="1" applyFill="1" applyBorder="1" applyAlignment="1">
      <alignment horizontal="left" vertical="center"/>
    </xf>
    <xf numFmtId="0" fontId="24" fillId="3" borderId="31" xfId="0" applyFont="1" applyFill="1" applyBorder="1" applyAlignment="1">
      <alignment vertical="center"/>
    </xf>
    <xf numFmtId="14" fontId="24" fillId="3" borderId="72" xfId="0" quotePrefix="1" applyNumberFormat="1" applyFont="1" applyFill="1" applyBorder="1" applyAlignment="1">
      <alignment horizontal="center" vertical="center"/>
    </xf>
    <xf numFmtId="0" fontId="76" fillId="19" borderId="31" xfId="0" applyFont="1" applyFill="1" applyBorder="1" applyAlignment="1">
      <alignment horizontal="center" vertical="center"/>
    </xf>
    <xf numFmtId="0" fontId="24" fillId="3" borderId="70" xfId="0" applyFont="1" applyFill="1" applyBorder="1" applyAlignment="1">
      <alignment vertical="center"/>
    </xf>
    <xf numFmtId="14" fontId="24" fillId="3" borderId="70" xfId="0" applyNumberFormat="1" applyFont="1" applyFill="1" applyBorder="1" applyAlignment="1">
      <alignment horizontal="center" vertical="center"/>
    </xf>
    <xf numFmtId="0" fontId="76" fillId="3" borderId="31" xfId="0" applyFont="1" applyFill="1" applyBorder="1" applyAlignment="1">
      <alignment vertical="center"/>
    </xf>
    <xf numFmtId="0" fontId="70" fillId="21" borderId="31" xfId="0" applyFont="1" applyFill="1" applyBorder="1" applyAlignment="1">
      <alignment horizontal="center" vertical="center" wrapText="1"/>
    </xf>
    <xf numFmtId="0" fontId="0" fillId="16" borderId="31" xfId="0" applyFill="1" applyBorder="1" applyAlignment="1">
      <alignment horizontal="center" vertical="center"/>
    </xf>
    <xf numFmtId="0" fontId="70" fillId="10" borderId="31" xfId="0" applyFont="1" applyFill="1" applyBorder="1" applyAlignment="1">
      <alignment horizontal="center" vertical="center" wrapText="1"/>
    </xf>
    <xf numFmtId="0" fontId="3" fillId="3" borderId="72" xfId="0" applyFont="1" applyFill="1" applyBorder="1" applyAlignment="1">
      <alignment vertical="center"/>
    </xf>
    <xf numFmtId="14" fontId="3" fillId="3" borderId="31" xfId="0" applyNumberFormat="1" applyFont="1" applyFill="1" applyBorder="1" applyAlignment="1">
      <alignment horizontal="center" vertical="center"/>
    </xf>
    <xf numFmtId="0" fontId="77" fillId="3" borderId="31" xfId="0" applyFont="1" applyFill="1" applyBorder="1"/>
    <xf numFmtId="14" fontId="3" fillId="3" borderId="72" xfId="0" applyNumberFormat="1" applyFont="1" applyFill="1" applyBorder="1" applyAlignment="1">
      <alignment horizontal="center" vertical="center"/>
    </xf>
    <xf numFmtId="14" fontId="3" fillId="3" borderId="70" xfId="0" applyNumberFormat="1" applyFont="1" applyFill="1" applyBorder="1" applyAlignment="1">
      <alignment horizontal="center" vertical="center"/>
    </xf>
    <xf numFmtId="0" fontId="79" fillId="15" borderId="31" xfId="0" applyFont="1" applyFill="1" applyBorder="1" applyAlignment="1">
      <alignment horizontal="center" vertical="center" wrapText="1"/>
    </xf>
    <xf numFmtId="0" fontId="77" fillId="0" borderId="0" xfId="0" applyFont="1"/>
    <xf numFmtId="14" fontId="77" fillId="3" borderId="31" xfId="0" applyNumberFormat="1" applyFont="1" applyFill="1" applyBorder="1" applyAlignment="1">
      <alignment horizontal="center" vertical="center"/>
    </xf>
    <xf numFmtId="0" fontId="3" fillId="3" borderId="31" xfId="0" applyFont="1" applyFill="1" applyBorder="1" applyAlignment="1">
      <alignment horizontal="center" vertical="center" wrapText="1"/>
    </xf>
    <xf numFmtId="0" fontId="77" fillId="16" borderId="31" xfId="0" applyFont="1" applyFill="1" applyBorder="1"/>
    <xf numFmtId="0" fontId="77" fillId="16" borderId="31" xfId="0" applyFont="1" applyFill="1" applyBorder="1" applyAlignment="1">
      <alignment horizontal="center" vertical="center"/>
    </xf>
    <xf numFmtId="0" fontId="3" fillId="3" borderId="72" xfId="0" applyFont="1" applyFill="1" applyBorder="1" applyAlignment="1">
      <alignment horizontal="left" vertical="center"/>
    </xf>
    <xf numFmtId="0" fontId="3" fillId="3" borderId="31" xfId="0" applyFont="1" applyFill="1" applyBorder="1" applyAlignment="1">
      <alignment vertical="center"/>
    </xf>
    <xf numFmtId="14" fontId="3" fillId="3" borderId="72" xfId="0" quotePrefix="1" applyNumberFormat="1" applyFont="1" applyFill="1" applyBorder="1" applyAlignment="1">
      <alignment horizontal="center" vertical="center"/>
    </xf>
    <xf numFmtId="0" fontId="3" fillId="19" borderId="31" xfId="0" applyFont="1" applyFill="1" applyBorder="1" applyAlignment="1">
      <alignment horizontal="center" vertical="center"/>
    </xf>
    <xf numFmtId="0" fontId="80" fillId="16" borderId="31" xfId="0" applyFont="1" applyFill="1" applyBorder="1" applyAlignment="1">
      <alignment horizontal="center" vertical="center" wrapText="1"/>
    </xf>
    <xf numFmtId="0" fontId="3" fillId="3" borderId="70" xfId="0" applyFont="1" applyFill="1" applyBorder="1" applyAlignment="1">
      <alignment vertical="center"/>
    </xf>
    <xf numFmtId="0" fontId="80" fillId="16" borderId="0" xfId="0" applyFont="1" applyFill="1" applyAlignment="1">
      <alignment horizontal="center" wrapText="1"/>
    </xf>
    <xf numFmtId="0" fontId="3" fillId="3" borderId="0" xfId="0" applyFont="1" applyFill="1" applyAlignment="1">
      <alignment vertical="center"/>
    </xf>
    <xf numFmtId="14" fontId="3" fillId="3" borderId="0" xfId="0" applyNumberFormat="1" applyFont="1" applyFill="1" applyAlignment="1">
      <alignment horizontal="center" vertical="center"/>
    </xf>
    <xf numFmtId="0" fontId="77" fillId="16" borderId="0" xfId="0" applyFont="1" applyFill="1" applyAlignment="1">
      <alignment horizontal="center" vertical="center" wrapText="1"/>
    </xf>
    <xf numFmtId="0" fontId="3" fillId="19" borderId="0" xfId="0" applyFont="1" applyFill="1" applyAlignment="1">
      <alignment horizontal="center" vertical="center"/>
    </xf>
    <xf numFmtId="0" fontId="80" fillId="16" borderId="0" xfId="0" applyFont="1" applyFill="1" applyAlignment="1">
      <alignment horizontal="center" vertical="center" wrapText="1"/>
    </xf>
    <xf numFmtId="0" fontId="77" fillId="0" borderId="0" xfId="0" applyFont="1" applyAlignment="1">
      <alignment horizontal="center"/>
    </xf>
    <xf numFmtId="0" fontId="79" fillId="18" borderId="0" xfId="0" applyFont="1" applyFill="1" applyAlignment="1">
      <alignment wrapText="1"/>
    </xf>
    <xf numFmtId="0" fontId="80" fillId="18" borderId="0" xfId="0" applyFont="1" applyFill="1" applyAlignment="1">
      <alignment wrapText="1"/>
    </xf>
    <xf numFmtId="0" fontId="77" fillId="16" borderId="0" xfId="0" applyFont="1" applyFill="1"/>
    <xf numFmtId="0" fontId="77" fillId="16" borderId="0" xfId="0" applyFont="1" applyFill="1" applyAlignment="1">
      <alignment horizontal="center"/>
    </xf>
    <xf numFmtId="0" fontId="78" fillId="20" borderId="70" xfId="0" applyFont="1" applyFill="1" applyBorder="1" applyAlignment="1">
      <alignment wrapText="1"/>
    </xf>
    <xf numFmtId="0" fontId="78" fillId="20" borderId="49" xfId="0" applyFont="1" applyFill="1" applyBorder="1" applyAlignment="1">
      <alignment wrapText="1"/>
    </xf>
    <xf numFmtId="0" fontId="78" fillId="20" borderId="71" xfId="0" applyFont="1" applyFill="1" applyBorder="1" applyAlignment="1">
      <alignment wrapText="1"/>
    </xf>
    <xf numFmtId="0" fontId="78" fillId="20" borderId="47" xfId="0" applyFont="1" applyFill="1" applyBorder="1" applyAlignment="1">
      <alignment wrapText="1"/>
    </xf>
    <xf numFmtId="0" fontId="80" fillId="18" borderId="71" xfId="0" applyFont="1" applyFill="1" applyBorder="1" applyAlignment="1">
      <alignment horizontal="center" wrapText="1"/>
    </xf>
    <xf numFmtId="0" fontId="80" fillId="18" borderId="47" xfId="0" applyFont="1" applyFill="1" applyBorder="1" applyAlignment="1">
      <alignment horizontal="center" wrapText="1"/>
    </xf>
    <xf numFmtId="0" fontId="78" fillId="20" borderId="31" xfId="0" applyFont="1" applyFill="1" applyBorder="1" applyAlignment="1">
      <alignment vertical="center" wrapText="1"/>
    </xf>
    <xf numFmtId="9" fontId="79" fillId="20" borderId="31" xfId="9" applyFont="1" applyFill="1" applyBorder="1" applyAlignment="1">
      <alignment vertical="center"/>
    </xf>
    <xf numFmtId="9" fontId="79" fillId="9" borderId="31" xfId="9" applyFont="1" applyFill="1" applyBorder="1" applyAlignment="1">
      <alignment horizontal="center" vertical="center"/>
    </xf>
    <xf numFmtId="0" fontId="78" fillId="16" borderId="31" xfId="0" applyFont="1" applyFill="1" applyBorder="1" applyAlignment="1">
      <alignment horizontal="center" vertical="center" wrapText="1"/>
    </xf>
    <xf numFmtId="0" fontId="79" fillId="16" borderId="70" xfId="0" applyFont="1" applyFill="1" applyBorder="1" applyAlignment="1">
      <alignment horizontal="center" vertical="center" wrapText="1"/>
    </xf>
    <xf numFmtId="0" fontId="79" fillId="16" borderId="31" xfId="0" applyFont="1" applyFill="1" applyBorder="1" applyAlignment="1">
      <alignment horizontal="center" vertical="center" wrapText="1"/>
    </xf>
    <xf numFmtId="0" fontId="77" fillId="3" borderId="0" xfId="0" applyFont="1" applyFill="1"/>
    <xf numFmtId="0" fontId="77" fillId="16" borderId="70" xfId="0" applyFont="1" applyFill="1" applyBorder="1" applyAlignment="1">
      <alignment horizontal="center" vertical="center" wrapText="1"/>
    </xf>
    <xf numFmtId="0" fontId="77" fillId="16" borderId="31" xfId="0" applyFont="1" applyFill="1" applyBorder="1" applyAlignment="1">
      <alignment horizontal="center" vertical="center" wrapText="1"/>
    </xf>
    <xf numFmtId="14" fontId="77" fillId="16" borderId="31" xfId="0" applyNumberFormat="1" applyFont="1" applyFill="1" applyBorder="1" applyAlignment="1">
      <alignment horizontal="center" vertical="center" wrapText="1"/>
    </xf>
    <xf numFmtId="0" fontId="77" fillId="16" borderId="70" xfId="0" applyFont="1" applyFill="1" applyBorder="1" applyAlignment="1">
      <alignment horizontal="left" vertical="center" wrapText="1"/>
    </xf>
    <xf numFmtId="0" fontId="2" fillId="3" borderId="31" xfId="7" applyFont="1" applyFill="1" applyBorder="1"/>
    <xf numFmtId="14" fontId="2" fillId="3" borderId="31" xfId="7" applyNumberFormat="1" applyFont="1" applyFill="1" applyBorder="1" applyAlignment="1">
      <alignment horizontal="center"/>
    </xf>
    <xf numFmtId="0" fontId="1" fillId="3" borderId="31" xfId="7" applyFont="1" applyFill="1" applyBorder="1"/>
    <xf numFmtId="0" fontId="77" fillId="0" borderId="31" xfId="0" applyFont="1" applyBorder="1"/>
    <xf numFmtId="14" fontId="77" fillId="0" borderId="31" xfId="0" applyNumberFormat="1" applyFont="1" applyBorder="1"/>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9" fontId="23" fillId="12" borderId="23" xfId="0" applyNumberFormat="1" applyFont="1" applyFill="1" applyBorder="1" applyAlignment="1">
      <alignment horizontal="center"/>
    </xf>
    <xf numFmtId="9" fontId="23" fillId="12" borderId="31" xfId="0" applyNumberFormat="1" applyFont="1" applyFill="1" applyBorder="1" applyAlignment="1">
      <alignment horizontal="center"/>
    </xf>
    <xf numFmtId="9" fontId="23" fillId="12" borderId="35" xfId="0" applyNumberFormat="1" applyFont="1" applyFill="1" applyBorder="1" applyAlignment="1">
      <alignment horizontal="center"/>
    </xf>
    <xf numFmtId="9" fontId="23" fillId="7" borderId="23" xfId="0" applyNumberFormat="1" applyFont="1" applyFill="1" applyBorder="1" applyAlignment="1">
      <alignment horizontal="center"/>
    </xf>
    <xf numFmtId="9" fontId="23" fillId="7" borderId="31" xfId="0" applyNumberFormat="1" applyFont="1" applyFill="1" applyBorder="1" applyAlignment="1">
      <alignment horizontal="center"/>
    </xf>
    <xf numFmtId="9" fontId="23" fillId="7" borderId="35" xfId="0" applyNumberFormat="1" applyFont="1" applyFill="1" applyBorder="1" applyAlignment="1">
      <alignment horizontal="center"/>
    </xf>
    <xf numFmtId="9" fontId="23" fillId="8" borderId="23" xfId="0" applyNumberFormat="1" applyFont="1" applyFill="1" applyBorder="1" applyAlignment="1">
      <alignment horizontal="center"/>
    </xf>
    <xf numFmtId="9" fontId="23" fillId="8" borderId="31" xfId="0" applyNumberFormat="1" applyFont="1" applyFill="1" applyBorder="1" applyAlignment="1">
      <alignment horizontal="center"/>
    </xf>
    <xf numFmtId="9" fontId="23" fillId="8" borderId="35" xfId="0" applyNumberFormat="1" applyFont="1" applyFill="1" applyBorder="1" applyAlignment="1">
      <alignment horizontal="center"/>
    </xf>
    <xf numFmtId="0" fontId="22" fillId="0" borderId="32" xfId="0" applyFont="1" applyBorder="1" applyAlignment="1">
      <alignment horizontal="left" vertical="center" wrapText="1"/>
    </xf>
    <xf numFmtId="0" fontId="22" fillId="0" borderId="33" xfId="0" applyFont="1" applyBorder="1" applyAlignment="1">
      <alignment horizontal="left" vertical="center" wrapText="1"/>
    </xf>
    <xf numFmtId="0" fontId="22" fillId="0" borderId="34" xfId="0" applyFont="1" applyBorder="1" applyAlignment="1">
      <alignment horizontal="left" vertical="center" wrapText="1"/>
    </xf>
    <xf numFmtId="0" fontId="22" fillId="0" borderId="12" xfId="0" applyFont="1" applyBorder="1" applyAlignment="1">
      <alignment horizontal="left" vertical="center" wrapText="1"/>
    </xf>
    <xf numFmtId="0" fontId="22" fillId="0" borderId="0" xfId="0" applyFont="1" applyAlignment="1">
      <alignment horizontal="left" vertical="center" wrapText="1"/>
    </xf>
    <xf numFmtId="0" fontId="22" fillId="0" borderId="13" xfId="0" applyFont="1" applyBorder="1" applyAlignment="1">
      <alignment horizontal="left" vertical="center" wrapText="1"/>
    </xf>
    <xf numFmtId="0" fontId="25" fillId="0" borderId="12" xfId="0" applyFont="1" applyBorder="1" applyAlignment="1">
      <alignment horizontal="left" vertical="top"/>
    </xf>
    <xf numFmtId="0" fontId="25" fillId="0" borderId="0" xfId="0" applyFont="1" applyAlignment="1">
      <alignment horizontal="left" vertical="top"/>
    </xf>
    <xf numFmtId="0" fontId="22" fillId="0" borderId="0" xfId="0" applyFont="1" applyAlignment="1">
      <alignment horizontal="left" wrapText="1"/>
    </xf>
    <xf numFmtId="0" fontId="22" fillId="0" borderId="13" xfId="0" applyFont="1" applyBorder="1" applyAlignment="1">
      <alignment horizontal="left" wrapText="1"/>
    </xf>
    <xf numFmtId="0" fontId="23" fillId="2" borderId="1" xfId="0" applyFont="1" applyFill="1" applyBorder="1" applyAlignment="1">
      <alignment horizontal="left" vertical="center"/>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2" fillId="0" borderId="0" xfId="0" applyFont="1" applyAlignment="1">
      <alignment vertical="justify"/>
    </xf>
    <xf numFmtId="0" fontId="22" fillId="0" borderId="13" xfId="0" applyFont="1" applyBorder="1" applyAlignment="1">
      <alignment vertical="justify"/>
    </xf>
    <xf numFmtId="0" fontId="22" fillId="0" borderId="0" xfId="0" applyFont="1" applyAlignment="1">
      <alignment horizontal="left"/>
    </xf>
    <xf numFmtId="0" fontId="22" fillId="0" borderId="13" xfId="0" applyFont="1" applyBorder="1" applyAlignment="1">
      <alignment horizontal="left"/>
    </xf>
    <xf numFmtId="0" fontId="25" fillId="0" borderId="12" xfId="0" applyFont="1" applyBorder="1" applyAlignment="1">
      <alignment horizontal="left"/>
    </xf>
    <xf numFmtId="0" fontId="25" fillId="0" borderId="0" xfId="0" applyFont="1" applyAlignment="1">
      <alignment horizontal="left"/>
    </xf>
    <xf numFmtId="0" fontId="24" fillId="3" borderId="12" xfId="0" applyFont="1" applyFill="1" applyBorder="1" applyAlignment="1">
      <alignment horizontal="left" vertical="center" wrapText="1"/>
    </xf>
    <xf numFmtId="0" fontId="24" fillId="3" borderId="0" xfId="0" applyFont="1" applyFill="1" applyAlignment="1">
      <alignment horizontal="left" vertical="center" wrapText="1"/>
    </xf>
    <xf numFmtId="0" fontId="24" fillId="3" borderId="13" xfId="0" applyFont="1" applyFill="1" applyBorder="1" applyAlignment="1">
      <alignment horizontal="left" vertical="center" wrapText="1"/>
    </xf>
    <xf numFmtId="0" fontId="24" fillId="0" borderId="31" xfId="0" applyFont="1" applyBorder="1" applyAlignment="1">
      <alignment horizontal="left" wrapText="1"/>
    </xf>
    <xf numFmtId="0" fontId="24" fillId="0" borderId="35" xfId="0" applyFont="1" applyBorder="1" applyAlignment="1">
      <alignment horizontal="left" wrapText="1"/>
    </xf>
    <xf numFmtId="0" fontId="40" fillId="3" borderId="1" xfId="0" applyFont="1" applyFill="1" applyBorder="1" applyAlignment="1">
      <alignment horizontal="center" vertical="center"/>
    </xf>
    <xf numFmtId="0" fontId="40" fillId="3" borderId="2" xfId="0" applyFont="1" applyFill="1" applyBorder="1" applyAlignment="1">
      <alignment horizontal="center" vertical="center"/>
    </xf>
    <xf numFmtId="0" fontId="40" fillId="3" borderId="3" xfId="0" applyFont="1" applyFill="1" applyBorder="1" applyAlignment="1">
      <alignment horizontal="center" vertical="center"/>
    </xf>
    <xf numFmtId="0" fontId="23" fillId="2" borderId="7" xfId="0" applyFont="1" applyFill="1" applyBorder="1" applyAlignment="1">
      <alignment horizontal="left" vertical="center"/>
    </xf>
    <xf numFmtId="0" fontId="23" fillId="2" borderId="5" xfId="0" applyFont="1" applyFill="1" applyBorder="1" applyAlignment="1">
      <alignment horizontal="left" vertical="center"/>
    </xf>
    <xf numFmtId="0" fontId="23" fillId="2" borderId="11" xfId="0" applyFont="1" applyFill="1" applyBorder="1" applyAlignment="1">
      <alignment horizontal="left"/>
    </xf>
    <xf numFmtId="0" fontId="23" fillId="2" borderId="9" xfId="0" applyFont="1" applyFill="1" applyBorder="1" applyAlignment="1">
      <alignment horizontal="left"/>
    </xf>
    <xf numFmtId="0" fontId="23" fillId="2" borderId="10" xfId="0" applyFont="1" applyFill="1" applyBorder="1" applyAlignment="1">
      <alignment horizontal="left"/>
    </xf>
    <xf numFmtId="0" fontId="24" fillId="0" borderId="25" xfId="0" applyFont="1" applyBorder="1" applyAlignment="1">
      <alignment horizontal="center" vertical="center"/>
    </xf>
    <xf numFmtId="0" fontId="24" fillId="0" borderId="6" xfId="0" applyFont="1" applyBorder="1" applyAlignment="1">
      <alignment horizontal="center" vertical="center"/>
    </xf>
    <xf numFmtId="0" fontId="24" fillId="0" borderId="26" xfId="0" applyFont="1" applyBorder="1" applyAlignment="1">
      <alignment horizontal="center"/>
    </xf>
    <xf numFmtId="0" fontId="24" fillId="0" borderId="10" xfId="0" applyFont="1" applyBorder="1" applyAlignment="1">
      <alignment horizontal="center"/>
    </xf>
    <xf numFmtId="0" fontId="24" fillId="0" borderId="7" xfId="0" applyFont="1" applyBorder="1" applyAlignment="1">
      <alignment horizontal="left" vertical="center" wrapText="1"/>
    </xf>
    <xf numFmtId="0" fontId="24" fillId="0" borderId="6" xfId="0" applyFont="1" applyBorder="1" applyAlignment="1">
      <alignment horizontal="left" vertical="center" wrapText="1"/>
    </xf>
    <xf numFmtId="0" fontId="24" fillId="0" borderId="11" xfId="0" applyFont="1" applyBorder="1" applyAlignment="1">
      <alignment horizontal="left"/>
    </xf>
    <xf numFmtId="0" fontId="24" fillId="0" borderId="10" xfId="0" applyFont="1" applyBorder="1" applyAlignment="1">
      <alignment horizontal="left"/>
    </xf>
    <xf numFmtId="0" fontId="22" fillId="0" borderId="12" xfId="0" applyFont="1" applyBorder="1" applyAlignment="1">
      <alignment horizontal="center" vertical="center"/>
    </xf>
    <xf numFmtId="0" fontId="22" fillId="0" borderId="0" xfId="0" applyFont="1" applyAlignment="1">
      <alignment horizontal="center" vertical="center"/>
    </xf>
    <xf numFmtId="0" fontId="22" fillId="0" borderId="29" xfId="0" applyFont="1" applyBorder="1" applyAlignment="1">
      <alignment horizontal="center" vertical="center"/>
    </xf>
    <xf numFmtId="0" fontId="22" fillId="0" borderId="23" xfId="0" applyFont="1" applyBorder="1" applyAlignment="1">
      <alignment horizontal="center"/>
    </xf>
    <xf numFmtId="0" fontId="22" fillId="0" borderId="31" xfId="0" applyFont="1" applyBorder="1" applyAlignment="1">
      <alignment horizontal="center"/>
    </xf>
    <xf numFmtId="0" fontId="23" fillId="2" borderId="6" xfId="0" applyFont="1" applyFill="1" applyBorder="1" applyAlignment="1">
      <alignment horizontal="left" vertical="center"/>
    </xf>
    <xf numFmtId="0" fontId="22" fillId="0" borderId="27" xfId="0" applyFont="1" applyBorder="1" applyAlignment="1">
      <alignment horizontal="center"/>
    </xf>
    <xf numFmtId="0" fontId="22" fillId="0" borderId="28" xfId="0" applyFont="1" applyBorder="1" applyAlignment="1">
      <alignment horizontal="center"/>
    </xf>
    <xf numFmtId="0" fontId="22" fillId="0" borderId="30" xfId="0" applyFont="1" applyBorder="1" applyAlignment="1">
      <alignment horizontal="center"/>
    </xf>
    <xf numFmtId="0" fontId="22" fillId="0" borderId="24" xfId="0" applyFont="1" applyBorder="1" applyAlignment="1">
      <alignment horizontal="center"/>
    </xf>
    <xf numFmtId="0" fontId="22" fillId="0" borderId="0" xfId="0" applyFont="1" applyAlignment="1">
      <alignment horizontal="center"/>
    </xf>
    <xf numFmtId="0" fontId="22" fillId="0" borderId="13" xfId="0" applyFont="1" applyBorder="1" applyAlignment="1">
      <alignment horizontal="center"/>
    </xf>
    <xf numFmtId="0" fontId="23" fillId="0" borderId="21" xfId="0" applyFont="1" applyBorder="1" applyAlignment="1">
      <alignment horizontal="center"/>
    </xf>
    <xf numFmtId="0" fontId="23" fillId="0" borderId="22" xfId="0" applyFont="1" applyBorder="1" applyAlignment="1">
      <alignment horizontal="center"/>
    </xf>
    <xf numFmtId="0" fontId="22" fillId="0" borderId="21" xfId="0" applyFont="1" applyBorder="1" applyAlignment="1">
      <alignment horizontal="center"/>
    </xf>
    <xf numFmtId="0" fontId="22" fillId="0" borderId="22" xfId="0" applyFont="1" applyBorder="1" applyAlignment="1">
      <alignment horizontal="center"/>
    </xf>
    <xf numFmtId="9" fontId="22" fillId="0" borderId="21" xfId="0" applyNumberFormat="1" applyFont="1" applyBorder="1" applyAlignment="1">
      <alignment horizontal="center"/>
    </xf>
    <xf numFmtId="9" fontId="49" fillId="0" borderId="18" xfId="0" applyNumberFormat="1" applyFont="1" applyBorder="1" applyAlignment="1">
      <alignment horizontal="center" vertical="top" wrapText="1"/>
    </xf>
    <xf numFmtId="0" fontId="49" fillId="0" borderId="18" xfId="0" applyFont="1" applyBorder="1" applyAlignment="1">
      <alignment horizontal="center" vertical="top"/>
    </xf>
    <xf numFmtId="0" fontId="49" fillId="0" borderId="19" xfId="0" applyFont="1" applyBorder="1" applyAlignment="1">
      <alignment horizontal="center" vertical="top"/>
    </xf>
    <xf numFmtId="0" fontId="22" fillId="9" borderId="42" xfId="0" applyFont="1" applyFill="1" applyBorder="1" applyAlignment="1">
      <alignment horizontal="center" vertical="center" wrapText="1"/>
    </xf>
    <xf numFmtId="0" fontId="22" fillId="9" borderId="43" xfId="0" applyFont="1" applyFill="1" applyBorder="1" applyAlignment="1">
      <alignment horizontal="center" vertical="center" wrapText="1"/>
    </xf>
    <xf numFmtId="0" fontId="22" fillId="9" borderId="46" xfId="0" applyFont="1" applyFill="1" applyBorder="1" applyAlignment="1">
      <alignment horizontal="center" vertical="center" wrapText="1"/>
    </xf>
    <xf numFmtId="0" fontId="22" fillId="9" borderId="47" xfId="0" applyFont="1" applyFill="1" applyBorder="1" applyAlignment="1">
      <alignment horizontal="center" vertical="center" wrapText="1"/>
    </xf>
    <xf numFmtId="0" fontId="22" fillId="9" borderId="44" xfId="0" applyFont="1" applyFill="1" applyBorder="1" applyAlignment="1">
      <alignment horizontal="center" vertical="center" wrapText="1"/>
    </xf>
    <xf numFmtId="0" fontId="22" fillId="9" borderId="45" xfId="0" applyFont="1" applyFill="1" applyBorder="1" applyAlignment="1">
      <alignment horizontal="center" vertical="center" wrapText="1"/>
    </xf>
    <xf numFmtId="0" fontId="22" fillId="9" borderId="48" xfId="0" applyFont="1" applyFill="1" applyBorder="1" applyAlignment="1">
      <alignment horizontal="center" vertical="center" wrapText="1"/>
    </xf>
    <xf numFmtId="0" fontId="22" fillId="9" borderId="22" xfId="0" applyFont="1" applyFill="1" applyBorder="1" applyAlignment="1">
      <alignment horizontal="center" vertical="center" wrapText="1"/>
    </xf>
    <xf numFmtId="0" fontId="22" fillId="10" borderId="27" xfId="0" applyFont="1" applyFill="1" applyBorder="1" applyAlignment="1">
      <alignment horizontal="center" vertical="center" wrapText="1"/>
    </xf>
    <xf numFmtId="0" fontId="22" fillId="10" borderId="49" xfId="0" applyFont="1" applyFill="1" applyBorder="1" applyAlignment="1">
      <alignment horizontal="center" vertical="center" wrapText="1"/>
    </xf>
    <xf numFmtId="0" fontId="22" fillId="10" borderId="46" xfId="0" applyFont="1" applyFill="1" applyBorder="1" applyAlignment="1">
      <alignment horizontal="center" vertical="center" wrapText="1"/>
    </xf>
    <xf numFmtId="0" fontId="22" fillId="10" borderId="47" xfId="0" applyFont="1" applyFill="1" applyBorder="1" applyAlignment="1">
      <alignment horizontal="center" vertical="center" wrapText="1"/>
    </xf>
    <xf numFmtId="0" fontId="22" fillId="10" borderId="48" xfId="0" applyFont="1" applyFill="1" applyBorder="1" applyAlignment="1">
      <alignment horizontal="center" vertical="center" wrapText="1"/>
    </xf>
    <xf numFmtId="0" fontId="22" fillId="10" borderId="22" xfId="0" applyFont="1" applyFill="1" applyBorder="1" applyAlignment="1">
      <alignment horizontal="center" vertical="center" wrapText="1"/>
    </xf>
    <xf numFmtId="0" fontId="22" fillId="11" borderId="24" xfId="0" applyFont="1" applyFill="1" applyBorder="1" applyAlignment="1">
      <alignment horizontal="center" vertical="center" wrapText="1"/>
    </xf>
    <xf numFmtId="0" fontId="22" fillId="11" borderId="29" xfId="0" applyFont="1" applyFill="1" applyBorder="1" applyAlignment="1">
      <alignment horizontal="center" vertical="center" wrapText="1"/>
    </xf>
    <xf numFmtId="0" fontId="22" fillId="11" borderId="50" xfId="0" applyFont="1" applyFill="1" applyBorder="1" applyAlignment="1">
      <alignment horizontal="center" vertical="center" wrapText="1"/>
    </xf>
    <xf numFmtId="0" fontId="22" fillId="11" borderId="51" xfId="0" applyFont="1" applyFill="1" applyBorder="1" applyAlignment="1">
      <alignment horizontal="center" vertical="center" wrapText="1"/>
    </xf>
    <xf numFmtId="0" fontId="22" fillId="11" borderId="46" xfId="0" applyFont="1" applyFill="1" applyBorder="1" applyAlignment="1">
      <alignment horizontal="center" vertical="center" wrapText="1"/>
    </xf>
    <xf numFmtId="0" fontId="22" fillId="11" borderId="19" xfId="0" applyFont="1" applyFill="1" applyBorder="1" applyAlignment="1">
      <alignment horizontal="center" vertical="center" wrapText="1"/>
    </xf>
    <xf numFmtId="0" fontId="22" fillId="11" borderId="48" xfId="0" applyFont="1" applyFill="1" applyBorder="1" applyAlignment="1">
      <alignment horizontal="center" vertical="center" wrapText="1"/>
    </xf>
    <xf numFmtId="0" fontId="22" fillId="11" borderId="22" xfId="0" applyFont="1" applyFill="1" applyBorder="1" applyAlignment="1">
      <alignment horizontal="center" vertical="center" wrapText="1"/>
    </xf>
    <xf numFmtId="0" fontId="22" fillId="11" borderId="15" xfId="0" applyFont="1" applyFill="1" applyBorder="1" applyAlignment="1">
      <alignment horizontal="center" vertical="center" wrapText="1"/>
    </xf>
    <xf numFmtId="0" fontId="22" fillId="11" borderId="16" xfId="0" applyFont="1" applyFill="1" applyBorder="1" applyAlignment="1">
      <alignment horizontal="center" vertical="center" wrapText="1"/>
    </xf>
    <xf numFmtId="0" fontId="49" fillId="3" borderId="32" xfId="0" applyFont="1" applyFill="1" applyBorder="1" applyAlignment="1">
      <alignment horizontal="center" vertical="center" wrapText="1"/>
    </xf>
    <xf numFmtId="0" fontId="49" fillId="3" borderId="68" xfId="0" applyFont="1" applyFill="1" applyBorder="1" applyAlignment="1">
      <alignment horizontal="center" vertical="center" wrapText="1"/>
    </xf>
    <xf numFmtId="0" fontId="49" fillId="3" borderId="12" xfId="0" applyFont="1" applyFill="1" applyBorder="1" applyAlignment="1">
      <alignment horizontal="center" vertical="center" wrapText="1"/>
    </xf>
    <xf numFmtId="0" fontId="49" fillId="3" borderId="29" xfId="0" applyFont="1" applyFill="1" applyBorder="1" applyAlignment="1">
      <alignment horizontal="center" vertical="center" wrapText="1"/>
    </xf>
    <xf numFmtId="0" fontId="49" fillId="3" borderId="14" xfId="0" applyFont="1" applyFill="1" applyBorder="1" applyAlignment="1">
      <alignment horizontal="center" vertical="center" wrapText="1"/>
    </xf>
    <xf numFmtId="0" fontId="49" fillId="3" borderId="51" xfId="0" applyFont="1" applyFill="1" applyBorder="1" applyAlignment="1">
      <alignment horizontal="center" vertical="center" wrapText="1"/>
    </xf>
    <xf numFmtId="167" fontId="42" fillId="3" borderId="31" xfId="4" quotePrefix="1" applyNumberFormat="1" applyFont="1" applyFill="1" applyBorder="1" applyAlignment="1">
      <alignment horizontal="center" vertical="center" wrapText="1"/>
    </xf>
    <xf numFmtId="167" fontId="42" fillId="3" borderId="31" xfId="4" applyNumberFormat="1" applyFont="1" applyFill="1" applyBorder="1" applyAlignment="1">
      <alignment horizontal="center" vertical="center" wrapText="1"/>
    </xf>
    <xf numFmtId="14" fontId="42" fillId="3" borderId="31" xfId="4" quotePrefix="1" applyNumberFormat="1" applyFont="1" applyFill="1" applyBorder="1" applyAlignment="1">
      <alignment horizontal="center" vertical="center" wrapText="1"/>
    </xf>
    <xf numFmtId="0" fontId="42" fillId="3" borderId="35" xfId="4" applyNumberFormat="1" applyFont="1" applyFill="1" applyBorder="1" applyAlignment="1">
      <alignment horizontal="center" vertical="center" wrapText="1"/>
    </xf>
    <xf numFmtId="166" fontId="43" fillId="3" borderId="52" xfId="2" applyNumberFormat="1" applyFont="1" applyFill="1" applyBorder="1" applyAlignment="1">
      <alignment horizontal="center" vertical="center"/>
    </xf>
    <xf numFmtId="166" fontId="43" fillId="3" borderId="53" xfId="2" applyNumberFormat="1" applyFont="1" applyFill="1" applyBorder="1" applyAlignment="1">
      <alignment horizontal="center" vertical="center"/>
    </xf>
    <xf numFmtId="166" fontId="43" fillId="3" borderId="54" xfId="2" applyNumberFormat="1" applyFont="1" applyFill="1" applyBorder="1" applyAlignment="1">
      <alignment horizontal="center" vertical="center"/>
    </xf>
    <xf numFmtId="0" fontId="14" fillId="3" borderId="0" xfId="2" applyFont="1" applyFill="1" applyAlignment="1">
      <alignment horizontal="center" vertical="center" wrapText="1"/>
    </xf>
    <xf numFmtId="0" fontId="23" fillId="6" borderId="1" xfId="3" applyFont="1" applyFill="1" applyBorder="1" applyAlignment="1">
      <alignment horizontal="left" vertical="center" wrapText="1"/>
    </xf>
    <xf numFmtId="0" fontId="23" fillId="6" borderId="2" xfId="3" applyFont="1" applyFill="1" applyBorder="1" applyAlignment="1">
      <alignment horizontal="left" vertical="center" wrapText="1"/>
    </xf>
    <xf numFmtId="0" fontId="23" fillId="6" borderId="3" xfId="3" applyFont="1" applyFill="1" applyBorder="1" applyAlignment="1">
      <alignment horizontal="left" vertical="center" wrapText="1"/>
    </xf>
    <xf numFmtId="0" fontId="23" fillId="6" borderId="37" xfId="2" applyFont="1" applyFill="1" applyBorder="1" applyAlignment="1">
      <alignment horizontal="center" vertical="center" wrapText="1"/>
    </xf>
    <xf numFmtId="167" fontId="23" fillId="6" borderId="37" xfId="4" applyNumberFormat="1" applyFont="1" applyFill="1" applyBorder="1" applyAlignment="1">
      <alignment horizontal="center" vertical="center"/>
    </xf>
    <xf numFmtId="167" fontId="23" fillId="6" borderId="37" xfId="4" applyNumberFormat="1" applyFont="1" applyFill="1" applyBorder="1" applyAlignment="1">
      <alignment horizontal="center" wrapText="1"/>
    </xf>
    <xf numFmtId="167" fontId="23" fillId="6" borderId="38" xfId="4" applyNumberFormat="1" applyFont="1" applyFill="1" applyBorder="1" applyAlignment="1">
      <alignment horizontal="center" wrapText="1"/>
    </xf>
    <xf numFmtId="0" fontId="26" fillId="4" borderId="32" xfId="2" applyFont="1" applyFill="1" applyBorder="1" applyAlignment="1">
      <alignment horizontal="left" vertical="center" wrapText="1"/>
    </xf>
    <xf numFmtId="0" fontId="26" fillId="4" borderId="33" xfId="2" applyFont="1" applyFill="1" applyBorder="1" applyAlignment="1">
      <alignment horizontal="left" vertical="center"/>
    </xf>
    <xf numFmtId="0" fontId="26" fillId="4" borderId="34" xfId="2" applyFont="1" applyFill="1" applyBorder="1" applyAlignment="1">
      <alignment horizontal="left" vertical="center"/>
    </xf>
    <xf numFmtId="0" fontId="26" fillId="4" borderId="12" xfId="2" applyFont="1" applyFill="1" applyBorder="1" applyAlignment="1">
      <alignment horizontal="left" vertical="center"/>
    </xf>
    <xf numFmtId="0" fontId="26" fillId="4" borderId="0" xfId="2" applyFont="1" applyFill="1" applyAlignment="1">
      <alignment horizontal="left" vertical="center"/>
    </xf>
    <xf numFmtId="0" fontId="26" fillId="4" borderId="13" xfId="2" applyFont="1" applyFill="1" applyBorder="1" applyAlignment="1">
      <alignment horizontal="left" vertical="center"/>
    </xf>
    <xf numFmtId="0" fontId="26" fillId="4" borderId="14" xfId="2" applyFont="1" applyFill="1" applyBorder="1" applyAlignment="1">
      <alignment horizontal="left" vertical="center"/>
    </xf>
    <xf numFmtId="0" fontId="26" fillId="4" borderId="15" xfId="2" applyFont="1" applyFill="1" applyBorder="1" applyAlignment="1">
      <alignment horizontal="left" vertical="center"/>
    </xf>
    <xf numFmtId="0" fontId="26" fillId="4" borderId="16" xfId="2" applyFont="1" applyFill="1" applyBorder="1" applyAlignment="1">
      <alignment horizontal="left" vertical="center"/>
    </xf>
    <xf numFmtId="0" fontId="42" fillId="3" borderId="31" xfId="2" quotePrefix="1" applyFont="1" applyFill="1" applyBorder="1" applyAlignment="1">
      <alignment horizontal="left" vertical="center" wrapText="1"/>
    </xf>
    <xf numFmtId="0" fontId="42" fillId="3" borderId="31" xfId="2" applyFont="1" applyFill="1" applyBorder="1" applyAlignment="1">
      <alignment horizontal="left" vertical="center" wrapText="1"/>
    </xf>
    <xf numFmtId="0" fontId="42" fillId="3" borderId="31" xfId="2" quotePrefix="1" applyFont="1" applyFill="1" applyBorder="1" applyAlignment="1">
      <alignment horizontal="center" vertical="center" wrapText="1"/>
    </xf>
    <xf numFmtId="0" fontId="42" fillId="3" borderId="31" xfId="2" applyFont="1" applyFill="1" applyBorder="1" applyAlignment="1">
      <alignment horizontal="center" vertical="center" wrapText="1"/>
    </xf>
    <xf numFmtId="167" fontId="42" fillId="3" borderId="31" xfId="4" quotePrefix="1" applyNumberFormat="1" applyFont="1" applyFill="1" applyBorder="1" applyAlignment="1">
      <alignment horizontal="center" vertical="center"/>
    </xf>
    <xf numFmtId="167" fontId="42" fillId="3" borderId="31" xfId="4" applyNumberFormat="1" applyFont="1" applyFill="1" applyBorder="1" applyAlignment="1">
      <alignment horizontal="center" vertical="center"/>
    </xf>
    <xf numFmtId="167" fontId="42" fillId="3" borderId="31" xfId="4" applyNumberFormat="1" applyFont="1" applyFill="1" applyBorder="1" applyAlignment="1">
      <alignment horizontal="center" wrapText="1"/>
    </xf>
    <xf numFmtId="167" fontId="42" fillId="3" borderId="35" xfId="4" applyNumberFormat="1" applyFont="1" applyFill="1" applyBorder="1" applyAlignment="1">
      <alignment horizontal="center" wrapText="1"/>
    </xf>
    <xf numFmtId="0" fontId="42" fillId="3" borderId="40" xfId="2" applyFont="1" applyFill="1" applyBorder="1" applyAlignment="1">
      <alignment horizontal="center" vertical="center" wrapText="1"/>
    </xf>
    <xf numFmtId="167" fontId="42" fillId="3" borderId="40" xfId="4" applyNumberFormat="1" applyFont="1" applyFill="1" applyBorder="1" applyAlignment="1">
      <alignment horizontal="center" vertical="center"/>
    </xf>
    <xf numFmtId="167" fontId="42" fillId="3" borderId="40" xfId="4" applyNumberFormat="1" applyFont="1" applyFill="1" applyBorder="1" applyAlignment="1">
      <alignment horizontal="center" wrapText="1"/>
    </xf>
    <xf numFmtId="167" fontId="42" fillId="3" borderId="41" xfId="4" applyNumberFormat="1" applyFont="1" applyFill="1" applyBorder="1" applyAlignment="1">
      <alignment horizontal="center" wrapText="1"/>
    </xf>
    <xf numFmtId="167" fontId="42" fillId="3" borderId="31" xfId="4" quotePrefix="1" applyNumberFormat="1" applyFont="1" applyFill="1" applyBorder="1" applyAlignment="1">
      <alignment horizontal="center" wrapText="1"/>
    </xf>
    <xf numFmtId="167" fontId="42" fillId="3" borderId="35" xfId="4" applyNumberFormat="1" applyFont="1" applyFill="1" applyBorder="1" applyAlignment="1">
      <alignment horizontal="center" vertical="center" wrapText="1"/>
    </xf>
    <xf numFmtId="1" fontId="22" fillId="4" borderId="40" xfId="3" applyNumberFormat="1" applyFont="1" applyFill="1" applyBorder="1" applyAlignment="1">
      <alignment horizontal="left" vertical="center"/>
    </xf>
    <xf numFmtId="1" fontId="32" fillId="4" borderId="40" xfId="3" applyNumberFormat="1" applyFont="1" applyFill="1" applyBorder="1" applyAlignment="1">
      <alignment horizontal="center" vertical="center" wrapText="1"/>
    </xf>
    <xf numFmtId="1" fontId="32" fillId="4" borderId="41" xfId="3" applyNumberFormat="1" applyFont="1" applyFill="1" applyBorder="1" applyAlignment="1">
      <alignment horizontal="center" vertical="center" wrapText="1"/>
    </xf>
    <xf numFmtId="1" fontId="23" fillId="6" borderId="40" xfId="3" applyNumberFormat="1" applyFont="1" applyFill="1" applyBorder="1" applyAlignment="1">
      <alignment horizontal="left" vertical="center"/>
    </xf>
    <xf numFmtId="0" fontId="22" fillId="0" borderId="0" xfId="2" applyFont="1" applyAlignment="1">
      <alignment horizontal="left" wrapText="1"/>
    </xf>
    <xf numFmtId="0" fontId="41" fillId="3" borderId="1" xfId="2" applyFont="1" applyFill="1" applyBorder="1" applyAlignment="1">
      <alignment horizontal="center" vertical="center"/>
    </xf>
    <xf numFmtId="0" fontId="41" fillId="3" borderId="2" xfId="2" applyFont="1" applyFill="1" applyBorder="1" applyAlignment="1">
      <alignment horizontal="center" vertical="center"/>
    </xf>
    <xf numFmtId="0" fontId="41" fillId="3" borderId="3" xfId="2" applyFont="1" applyFill="1" applyBorder="1" applyAlignment="1">
      <alignment horizontal="center" vertical="center"/>
    </xf>
    <xf numFmtId="1" fontId="23" fillId="6" borderId="36" xfId="3" applyNumberFormat="1" applyFont="1" applyFill="1" applyBorder="1" applyAlignment="1">
      <alignment horizontal="left" vertical="center"/>
    </xf>
    <xf numFmtId="1" fontId="23" fillId="6" borderId="37" xfId="3" applyNumberFormat="1" applyFont="1" applyFill="1" applyBorder="1" applyAlignment="1">
      <alignment horizontal="left" vertical="center"/>
    </xf>
    <xf numFmtId="1" fontId="23" fillId="6" borderId="23" xfId="3" applyNumberFormat="1" applyFont="1" applyFill="1" applyBorder="1" applyAlignment="1">
      <alignment horizontal="left" vertical="center"/>
    </xf>
    <xf numFmtId="1" fontId="23" fillId="6" borderId="31" xfId="3" applyNumberFormat="1" applyFont="1" applyFill="1" applyBorder="1" applyAlignment="1">
      <alignment horizontal="left" vertical="center"/>
    </xf>
    <xf numFmtId="1" fontId="23" fillId="6" borderId="39" xfId="3" applyNumberFormat="1" applyFont="1" applyFill="1" applyBorder="1" applyAlignment="1">
      <alignment horizontal="left" vertical="center"/>
    </xf>
    <xf numFmtId="1" fontId="22" fillId="4" borderId="37" xfId="3" applyNumberFormat="1" applyFont="1" applyFill="1" applyBorder="1" applyAlignment="1">
      <alignment horizontal="left" vertical="center" wrapText="1"/>
    </xf>
    <xf numFmtId="1" fontId="22" fillId="4" borderId="38" xfId="3" applyNumberFormat="1" applyFont="1" applyFill="1" applyBorder="1" applyAlignment="1">
      <alignment horizontal="left" vertical="center" wrapText="1"/>
    </xf>
    <xf numFmtId="1" fontId="22" fillId="4" borderId="31" xfId="3" applyNumberFormat="1" applyFont="1" applyFill="1" applyBorder="1" applyAlignment="1">
      <alignment vertical="center"/>
    </xf>
    <xf numFmtId="1" fontId="22" fillId="4" borderId="35" xfId="3" applyNumberFormat="1" applyFont="1" applyFill="1" applyBorder="1" applyAlignment="1">
      <alignment vertical="center"/>
    </xf>
    <xf numFmtId="1" fontId="22" fillId="4" borderId="31" xfId="3" applyNumberFormat="1" applyFont="1" applyFill="1" applyBorder="1" applyAlignment="1">
      <alignment horizontal="left" vertical="center"/>
    </xf>
    <xf numFmtId="1" fontId="22" fillId="4" borderId="35" xfId="3" applyNumberFormat="1" applyFont="1" applyFill="1" applyBorder="1" applyAlignment="1">
      <alignment horizontal="left" vertical="center"/>
    </xf>
    <xf numFmtId="0" fontId="47" fillId="0" borderId="60" xfId="8" applyFont="1" applyBorder="1" applyAlignment="1">
      <alignment horizontal="center" vertical="center" wrapText="1"/>
    </xf>
    <xf numFmtId="0" fontId="47" fillId="0" borderId="61" xfId="8" applyFont="1" applyBorder="1" applyAlignment="1">
      <alignment horizontal="center" vertical="center" wrapText="1"/>
    </xf>
    <xf numFmtId="0" fontId="47" fillId="0" borderId="63" xfId="8" applyFont="1" applyBorder="1" applyAlignment="1">
      <alignment horizontal="center" vertical="center" wrapText="1"/>
    </xf>
    <xf numFmtId="0" fontId="47" fillId="0" borderId="64" xfId="8" applyFont="1" applyBorder="1" applyAlignment="1">
      <alignment horizontal="center" vertical="center" wrapText="1"/>
    </xf>
    <xf numFmtId="0" fontId="47" fillId="0" borderId="59" xfId="8" applyFont="1" applyBorder="1" applyAlignment="1">
      <alignment horizontal="center" vertical="center" wrapText="1"/>
    </xf>
    <xf numFmtId="0" fontId="47" fillId="0" borderId="62" xfId="8" applyFont="1" applyBorder="1" applyAlignment="1">
      <alignment horizontal="center" vertical="center" wrapText="1"/>
    </xf>
    <xf numFmtId="14" fontId="47" fillId="0" borderId="59" xfId="8" applyNumberFormat="1" applyFont="1" applyBorder="1" applyAlignment="1">
      <alignment horizontal="center" vertical="center" wrapText="1"/>
    </xf>
    <xf numFmtId="14" fontId="47" fillId="0" borderId="62" xfId="8" applyNumberFormat="1" applyFont="1" applyBorder="1" applyAlignment="1">
      <alignment horizontal="center" vertical="center" wrapText="1"/>
    </xf>
    <xf numFmtId="10" fontId="47" fillId="0" borderId="59" xfId="8" applyNumberFormat="1" applyFont="1" applyBorder="1" applyAlignment="1">
      <alignment horizontal="center" vertical="center" wrapText="1"/>
    </xf>
    <xf numFmtId="10" fontId="47" fillId="0" borderId="62" xfId="8" applyNumberFormat="1" applyFont="1" applyBorder="1" applyAlignment="1">
      <alignment horizontal="center" vertical="center" wrapText="1"/>
    </xf>
    <xf numFmtId="14" fontId="46" fillId="13" borderId="55" xfId="8" applyNumberFormat="1" applyFont="1" applyFill="1" applyBorder="1" applyAlignment="1">
      <alignment horizontal="center" vertical="center" wrapText="1"/>
    </xf>
    <xf numFmtId="0" fontId="26" fillId="0" borderId="48" xfId="8" applyFont="1" applyBorder="1" applyAlignment="1">
      <alignment horizontal="left" vertical="center"/>
    </xf>
    <xf numFmtId="0" fontId="26" fillId="0" borderId="21" xfId="8" applyFont="1" applyBorder="1" applyAlignment="1">
      <alignment horizontal="left" vertical="center"/>
    </xf>
    <xf numFmtId="0" fontId="26" fillId="0" borderId="65" xfId="8" applyFont="1" applyBorder="1" applyAlignment="1">
      <alignment horizontal="left" vertical="center"/>
    </xf>
    <xf numFmtId="0" fontId="47" fillId="0" borderId="55" xfId="8" applyFont="1" applyBorder="1" applyAlignment="1">
      <alignment horizontal="center" vertical="center" wrapText="1"/>
    </xf>
    <xf numFmtId="0" fontId="46" fillId="0" borderId="59" xfId="8" applyFont="1" applyBorder="1" applyAlignment="1">
      <alignment horizontal="center" vertical="center" wrapText="1"/>
    </xf>
    <xf numFmtId="0" fontId="46" fillId="0" borderId="62" xfId="8" applyFont="1" applyBorder="1" applyAlignment="1">
      <alignment horizontal="center" vertical="center" wrapText="1"/>
    </xf>
    <xf numFmtId="14" fontId="47" fillId="0" borderId="55" xfId="8" applyNumberFormat="1" applyFont="1" applyBorder="1" applyAlignment="1">
      <alignment horizontal="center" vertical="center" wrapText="1"/>
    </xf>
    <xf numFmtId="0" fontId="46" fillId="13" borderId="56" xfId="8" applyFont="1" applyFill="1" applyBorder="1" applyAlignment="1">
      <alignment horizontal="center" vertical="center" wrapText="1"/>
    </xf>
    <xf numFmtId="0" fontId="46" fillId="13" borderId="57" xfId="8" applyFont="1" applyFill="1" applyBorder="1" applyAlignment="1">
      <alignment horizontal="center" vertical="center" wrapText="1"/>
    </xf>
    <xf numFmtId="0" fontId="46" fillId="13" borderId="58" xfId="8" applyFont="1" applyFill="1" applyBorder="1" applyAlignment="1">
      <alignment horizontal="center" vertical="center" wrapText="1"/>
    </xf>
    <xf numFmtId="0" fontId="46" fillId="13" borderId="55" xfId="8" applyFont="1" applyFill="1" applyBorder="1" applyAlignment="1">
      <alignment horizontal="center" vertical="center" wrapText="1"/>
    </xf>
    <xf numFmtId="0" fontId="46" fillId="13" borderId="59" xfId="8" applyFont="1" applyFill="1" applyBorder="1" applyAlignment="1">
      <alignment horizontal="center" vertical="center"/>
    </xf>
    <xf numFmtId="0" fontId="47" fillId="3" borderId="59" xfId="8" applyFont="1" applyFill="1" applyBorder="1" applyAlignment="1">
      <alignment horizontal="center" vertical="center"/>
    </xf>
    <xf numFmtId="0" fontId="47" fillId="3" borderId="56" xfId="8" applyFont="1" applyFill="1" applyBorder="1" applyAlignment="1">
      <alignment horizontal="center" vertical="center"/>
    </xf>
    <xf numFmtId="0" fontId="47" fillId="3" borderId="57" xfId="8" applyFont="1" applyFill="1" applyBorder="1" applyAlignment="1">
      <alignment horizontal="center" vertical="center"/>
    </xf>
    <xf numFmtId="0" fontId="47" fillId="3" borderId="58" xfId="8" applyFont="1" applyFill="1" applyBorder="1" applyAlignment="1">
      <alignment horizontal="center" vertical="center"/>
    </xf>
    <xf numFmtId="0" fontId="46" fillId="13" borderId="55" xfId="8" applyFont="1" applyFill="1" applyBorder="1" applyAlignment="1">
      <alignment horizontal="center" vertical="center"/>
    </xf>
    <xf numFmtId="0" fontId="40" fillId="3" borderId="32" xfId="8" applyFont="1" applyFill="1" applyBorder="1" applyAlignment="1">
      <alignment horizontal="center" vertical="center" wrapText="1" readingOrder="1"/>
    </xf>
    <xf numFmtId="0" fontId="40" fillId="3" borderId="33" xfId="8" applyFont="1" applyFill="1" applyBorder="1" applyAlignment="1">
      <alignment horizontal="center" vertical="center" wrapText="1" readingOrder="1"/>
    </xf>
    <xf numFmtId="0" fontId="40" fillId="3" borderId="34" xfId="8" applyFont="1" applyFill="1" applyBorder="1" applyAlignment="1">
      <alignment horizontal="center" vertical="center" wrapText="1" readingOrder="1"/>
    </xf>
    <xf numFmtId="0" fontId="40" fillId="3" borderId="12" xfId="8" applyFont="1" applyFill="1" applyBorder="1" applyAlignment="1">
      <alignment horizontal="center" vertical="center" wrapText="1" readingOrder="1"/>
    </xf>
    <xf numFmtId="0" fontId="40" fillId="3" borderId="0" xfId="8" applyFont="1" applyFill="1" applyAlignment="1">
      <alignment horizontal="center" vertical="center" wrapText="1" readingOrder="1"/>
    </xf>
    <xf numFmtId="0" fontId="40" fillId="3" borderId="13" xfId="8" applyFont="1" applyFill="1" applyBorder="1" applyAlignment="1">
      <alignment horizontal="center" vertical="center" wrapText="1" readingOrder="1"/>
    </xf>
    <xf numFmtId="0" fontId="40" fillId="3" borderId="14" xfId="8" applyFont="1" applyFill="1" applyBorder="1" applyAlignment="1">
      <alignment horizontal="center" vertical="center" wrapText="1" readingOrder="1"/>
    </xf>
    <xf numFmtId="0" fontId="40" fillId="3" borderId="15" xfId="8" applyFont="1" applyFill="1" applyBorder="1" applyAlignment="1">
      <alignment horizontal="center" vertical="center" wrapText="1" readingOrder="1"/>
    </xf>
    <xf numFmtId="0" fontId="40" fillId="3" borderId="16" xfId="8" applyFont="1" applyFill="1" applyBorder="1" applyAlignment="1">
      <alignment horizontal="center" vertical="center" wrapText="1" readingOrder="1"/>
    </xf>
    <xf numFmtId="0" fontId="47" fillId="3" borderId="55" xfId="8" applyFont="1" applyFill="1" applyBorder="1" applyAlignment="1">
      <alignment horizontal="left" vertical="center"/>
    </xf>
    <xf numFmtId="0" fontId="47" fillId="3" borderId="55" xfId="8" applyFont="1" applyFill="1" applyBorder="1" applyAlignment="1">
      <alignment horizontal="center" vertical="center"/>
    </xf>
    <xf numFmtId="0" fontId="46" fillId="3" borderId="56" xfId="8" applyFont="1" applyFill="1" applyBorder="1" applyAlignment="1">
      <alignment horizontal="center" vertical="center"/>
    </xf>
    <xf numFmtId="0" fontId="46" fillId="3" borderId="57" xfId="8" applyFont="1" applyFill="1" applyBorder="1" applyAlignment="1">
      <alignment horizontal="center" vertical="center"/>
    </xf>
    <xf numFmtId="0" fontId="46" fillId="3" borderId="58" xfId="8" applyFont="1" applyFill="1" applyBorder="1" applyAlignment="1">
      <alignment horizontal="center" vertical="center"/>
    </xf>
    <xf numFmtId="0" fontId="47" fillId="3" borderId="55" xfId="8" applyFont="1" applyFill="1" applyBorder="1" applyAlignment="1">
      <alignment horizontal="left" vertical="center" wrapText="1"/>
    </xf>
    <xf numFmtId="0" fontId="0" fillId="0" borderId="0" xfId="0"/>
    <xf numFmtId="0" fontId="0" fillId="0" borderId="29" xfId="0" applyBorder="1"/>
    <xf numFmtId="0" fontId="57" fillId="20" borderId="70" xfId="0" applyFont="1" applyFill="1" applyBorder="1" applyAlignment="1">
      <alignment wrapText="1"/>
    </xf>
    <xf numFmtId="0" fontId="57" fillId="20" borderId="71" xfId="0" applyFont="1" applyFill="1" applyBorder="1" applyAlignment="1">
      <alignment wrapText="1"/>
    </xf>
    <xf numFmtId="0" fontId="0" fillId="0" borderId="24" xfId="0" applyBorder="1"/>
    <xf numFmtId="0" fontId="0" fillId="0" borderId="0" xfId="0" applyAlignment="1">
      <alignment horizontal="center"/>
    </xf>
    <xf numFmtId="0" fontId="50" fillId="15" borderId="31" xfId="0" applyFont="1" applyFill="1" applyBorder="1" applyAlignment="1">
      <alignment horizontal="center" vertical="center" wrapText="1"/>
    </xf>
    <xf numFmtId="0" fontId="51" fillId="15" borderId="31" xfId="0" applyFont="1" applyFill="1" applyBorder="1" applyAlignment="1">
      <alignment horizontal="center" vertical="center" wrapText="1"/>
    </xf>
    <xf numFmtId="0" fontId="0" fillId="0" borderId="69" xfId="0" applyBorder="1"/>
    <xf numFmtId="0" fontId="66" fillId="15" borderId="31" xfId="0" applyFont="1" applyFill="1" applyBorder="1" applyAlignment="1">
      <alignment horizontal="center" vertical="center" wrapText="1"/>
    </xf>
    <xf numFmtId="0" fontId="67" fillId="15" borderId="31" xfId="0" applyFont="1" applyFill="1" applyBorder="1" applyAlignment="1">
      <alignment horizontal="center" vertical="center" wrapText="1"/>
    </xf>
    <xf numFmtId="0" fontId="0" fillId="0" borderId="29" xfId="0" applyBorder="1" applyAlignment="1">
      <alignment horizontal="center"/>
    </xf>
    <xf numFmtId="0" fontId="77" fillId="0" borderId="0" xfId="0" applyFont="1"/>
    <xf numFmtId="0" fontId="78" fillId="15" borderId="31" xfId="0" applyFont="1" applyFill="1" applyBorder="1" applyAlignment="1">
      <alignment horizontal="center" vertical="center" wrapText="1"/>
    </xf>
    <xf numFmtId="0" fontId="79" fillId="15" borderId="31" xfId="0" applyFont="1" applyFill="1" applyBorder="1" applyAlignment="1">
      <alignment horizontal="center" vertical="center" wrapText="1"/>
    </xf>
    <xf numFmtId="0" fontId="77" fillId="0" borderId="29" xfId="0" applyFont="1" applyBorder="1" applyAlignment="1">
      <alignment horizontal="center"/>
    </xf>
    <xf numFmtId="0" fontId="78" fillId="20" borderId="70" xfId="0" applyFont="1" applyFill="1" applyBorder="1" applyAlignment="1">
      <alignment wrapText="1"/>
    </xf>
    <xf numFmtId="0" fontId="78" fillId="20" borderId="71" xfId="0" applyFont="1" applyFill="1" applyBorder="1" applyAlignment="1">
      <alignment wrapText="1"/>
    </xf>
  </cellXfs>
  <cellStyles count="15">
    <cellStyle name="_x0004_¥" xfId="7" xr:uid="{00000000-0005-0000-0000-000000000000}"/>
    <cellStyle name="Millares" xfId="1" builtinId="3"/>
    <cellStyle name="Millares 2" xfId="4" xr:uid="{00000000-0005-0000-0000-000002000000}"/>
    <cellStyle name="Millares_CMI - CMET - Clientes" xfId="5" xr:uid="{00000000-0005-0000-0000-000003000000}"/>
    <cellStyle name="Normal" xfId="0" builtinId="0"/>
    <cellStyle name="Normal 2" xfId="6" xr:uid="{00000000-0005-0000-0000-000005000000}"/>
    <cellStyle name="Normal 3" xfId="8" xr:uid="{00000000-0005-0000-0000-000006000000}"/>
    <cellStyle name="Normal 3 2" xfId="10" xr:uid="{00000000-0005-0000-0000-000007000000}"/>
    <cellStyle name="Normal 3 3" xfId="11" xr:uid="{00000000-0005-0000-0000-000008000000}"/>
    <cellStyle name="Normal 3 4" xfId="12" xr:uid="{00000000-0005-0000-0000-000009000000}"/>
    <cellStyle name="Normal 3 5" xfId="13" xr:uid="{00000000-0005-0000-0000-00000A000000}"/>
    <cellStyle name="Normal 3 6" xfId="14" xr:uid="{00000000-0005-0000-0000-00000B000000}"/>
    <cellStyle name="Normal_CMI - CMET - Clientes" xfId="3" xr:uid="{00000000-0005-0000-0000-00000C000000}"/>
    <cellStyle name="Normal_F1a 2" xfId="2" xr:uid="{00000000-0005-0000-0000-00000D000000}"/>
    <cellStyle name="Porcentaje 2" xfId="9" xr:uid="{00000000-0005-0000-0000-00000E000000}"/>
  </cellStyles>
  <dxfs count="28">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70C0"/>
        </patternFill>
      </fill>
    </dxf>
    <dxf>
      <font>
        <color rgb="FF0070C0"/>
      </font>
      <fill>
        <patternFill>
          <bgColor rgb="FF0070C0"/>
        </patternFill>
      </fill>
    </dxf>
    <dxf>
      <font>
        <color rgb="FF002060"/>
      </font>
      <fill>
        <patternFill>
          <bgColor rgb="FF002060"/>
        </patternFill>
      </fill>
    </dxf>
    <dxf>
      <font>
        <color rgb="FF00B050"/>
      </font>
      <fill>
        <patternFill>
          <bgColor rgb="FF00B050"/>
        </patternFill>
      </fill>
    </dxf>
    <dxf>
      <font>
        <b/>
        <i val="0"/>
        <color theme="1"/>
      </font>
      <fill>
        <patternFill>
          <bgColor rgb="FFFFFF00"/>
        </patternFill>
      </fill>
    </dxf>
    <dxf>
      <font>
        <b/>
        <i val="0"/>
        <color theme="1"/>
      </font>
      <fill>
        <patternFill>
          <bgColor rgb="FF00B050"/>
        </patternFill>
      </fill>
    </dxf>
    <dxf>
      <font>
        <b/>
        <i val="0"/>
        <color theme="1"/>
      </font>
      <fill>
        <patternFill>
          <bgColor rgb="FFFFC000"/>
        </patternFill>
      </fill>
    </dxf>
    <dxf>
      <font>
        <b/>
        <i val="0"/>
        <color theme="1"/>
      </font>
      <fill>
        <patternFill>
          <bgColor rgb="FFFF0000"/>
        </patternFill>
      </fill>
    </dxf>
    <dxf>
      <fill>
        <patternFill>
          <bgColor rgb="FF0070C0"/>
        </patternFill>
      </fill>
    </dxf>
    <dxf>
      <font>
        <color rgb="FF0070C0"/>
      </font>
      <fill>
        <patternFill>
          <bgColor rgb="FF0070C0"/>
        </patternFill>
      </fill>
    </dxf>
    <dxf>
      <font>
        <color rgb="FF002060"/>
      </font>
      <fill>
        <patternFill>
          <bgColor rgb="FF002060"/>
        </patternFill>
      </fill>
    </dxf>
    <dxf>
      <font>
        <color rgb="FF00B050"/>
      </font>
      <fill>
        <patternFill>
          <bgColor rgb="FF00B050"/>
        </patternFill>
      </fill>
    </dxf>
    <dxf>
      <font>
        <b/>
        <i val="0"/>
        <color theme="1"/>
      </font>
      <fill>
        <patternFill>
          <bgColor rgb="FFFFFF00"/>
        </patternFill>
      </fill>
    </dxf>
    <dxf>
      <font>
        <b/>
        <i val="0"/>
        <color theme="1"/>
      </font>
      <fill>
        <patternFill>
          <bgColor rgb="FF00B050"/>
        </patternFill>
      </fill>
    </dxf>
    <dxf>
      <font>
        <b/>
        <i val="0"/>
        <color theme="1"/>
      </font>
      <fill>
        <patternFill>
          <bgColor rgb="FFFFC000"/>
        </patternFill>
      </fill>
    </dxf>
    <dxf>
      <font>
        <b/>
        <i val="0"/>
        <color theme="1"/>
      </font>
      <fill>
        <patternFill>
          <bgColor rgb="FFFF0000"/>
        </patternFill>
      </fill>
    </dxf>
    <dxf>
      <fill>
        <patternFill>
          <bgColor rgb="FF00FF00"/>
        </patternFill>
      </fill>
    </dxf>
    <dxf>
      <fill>
        <patternFill>
          <bgColor rgb="FFFFFF00"/>
        </patternFill>
      </fill>
    </dxf>
    <dxf>
      <font>
        <color rgb="FF9C0006"/>
      </font>
      <fill>
        <patternFill>
          <bgColor rgb="FFFF0000"/>
        </patternFill>
      </fill>
    </dxf>
    <dxf>
      <font>
        <condense val="0"/>
        <extend val="0"/>
        <color indexed="11"/>
      </font>
      <fill>
        <patternFill>
          <bgColor indexed="43"/>
        </patternFill>
      </fill>
    </dxf>
    <dxf>
      <font>
        <condense val="0"/>
        <extend val="0"/>
        <color indexed="52"/>
      </font>
      <fill>
        <patternFill patternType="solid">
          <bgColor indexed="43"/>
        </patternFill>
      </fill>
    </dxf>
    <dxf>
      <font>
        <condense val="0"/>
        <extend val="0"/>
        <color indexed="10"/>
      </font>
      <fill>
        <patternFill patternType="solid">
          <bgColor indexed="43"/>
        </patternFill>
      </fill>
    </dxf>
    <dxf>
      <font>
        <condense val="0"/>
        <extend val="0"/>
        <color indexed="11"/>
      </font>
      <fill>
        <patternFill patternType="none">
          <bgColor indexed="65"/>
        </patternFill>
      </fill>
    </dxf>
    <dxf>
      <font>
        <condense val="0"/>
        <extend val="0"/>
        <color indexed="51"/>
      </font>
      <fill>
        <patternFill patternType="none">
          <bgColor indexed="65"/>
        </patternFill>
      </fill>
    </dxf>
    <dxf>
      <font>
        <condense val="0"/>
        <extend val="0"/>
        <color indexed="10"/>
      </font>
      <fill>
        <patternFill patternType="none">
          <bgColor indexed="65"/>
        </patternFill>
      </fill>
    </dxf>
  </dxfs>
  <tableStyles count="1" defaultTableStyle="TableStyleMedium9" defaultPivotStyle="PivotStyleLight16">
    <tableStyle name="Invisible" pivot="0" table="0" count="0" xr9:uid="{5FF9006C-3CBB-464C-BC5B-524024257D5A}"/>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-BSC'!$C$14:$N$14</c:f>
              <c:numCache>
                <c:formatCode>0.0</c:formatCode>
                <c:ptCount val="12"/>
                <c:pt idx="0">
                  <c:v>94.9</c:v>
                </c:pt>
                <c:pt idx="1">
                  <c:v>94.9</c:v>
                </c:pt>
                <c:pt idx="2">
                  <c:v>94.9</c:v>
                </c:pt>
                <c:pt idx="3">
                  <c:v>94.9</c:v>
                </c:pt>
                <c:pt idx="4">
                  <c:v>94.9</c:v>
                </c:pt>
                <c:pt idx="5">
                  <c:v>94.9</c:v>
                </c:pt>
                <c:pt idx="6">
                  <c:v>94.9</c:v>
                </c:pt>
                <c:pt idx="7">
                  <c:v>94.9</c:v>
                </c:pt>
                <c:pt idx="8">
                  <c:v>94.9</c:v>
                </c:pt>
                <c:pt idx="9">
                  <c:v>94.9</c:v>
                </c:pt>
                <c:pt idx="10">
                  <c:v>94.9</c:v>
                </c:pt>
                <c:pt idx="11">
                  <c:v>94.9</c:v>
                </c:pt>
              </c:numCache>
            </c:numRef>
          </c:val>
          <c:extLst>
            <c:ext xmlns:c16="http://schemas.microsoft.com/office/drawing/2014/chart" uri="{C3380CC4-5D6E-409C-BE32-E72D297353CC}">
              <c16:uniqueId val="{00000002-3725-4F85-BC3E-C1D58A26C33A}"/>
            </c:ext>
          </c:extLst>
        </c:ser>
        <c:ser>
          <c:idx val="3"/>
          <c:order val="3"/>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-BSC'!$C$15:$N$15</c:f>
              <c:numCache>
                <c:formatCode>0</c:formatCode>
                <c:ptCount val="12"/>
                <c:pt idx="0">
                  <c:v>85</c:v>
                </c:pt>
                <c:pt idx="1">
                  <c:v>85</c:v>
                </c:pt>
                <c:pt idx="2">
                  <c:v>85</c:v>
                </c:pt>
                <c:pt idx="3">
                  <c:v>85</c:v>
                </c:pt>
                <c:pt idx="4">
                  <c:v>85</c:v>
                </c:pt>
                <c:pt idx="5">
                  <c:v>85</c:v>
                </c:pt>
                <c:pt idx="6">
                  <c:v>85</c:v>
                </c:pt>
                <c:pt idx="7">
                  <c:v>85</c:v>
                </c:pt>
                <c:pt idx="8">
                  <c:v>85</c:v>
                </c:pt>
                <c:pt idx="9">
                  <c:v>85</c:v>
                </c:pt>
                <c:pt idx="10">
                  <c:v>85</c:v>
                </c:pt>
                <c:pt idx="11">
                  <c:v>85</c:v>
                </c:pt>
              </c:numCache>
            </c:numRef>
          </c:val>
          <c:extLst>
            <c:ext xmlns:c16="http://schemas.microsoft.com/office/drawing/2014/chart" uri="{C3380CC4-5D6E-409C-BE32-E72D297353CC}">
              <c16:uniqueId val="{00000003-3725-4F85-BC3E-C1D58A26C33A}"/>
            </c:ext>
          </c:extLst>
        </c:ser>
        <c:dLbls>
          <c:showLegendKey val="0"/>
          <c:showVal val="0"/>
          <c:showCatName val="0"/>
          <c:showSerName val="0"/>
          <c:showPercent val="0"/>
          <c:showBubbleSize val="0"/>
        </c:dLbls>
        <c:axId val="113382847"/>
        <c:axId val="1906873391"/>
      </c:areaChart>
      <c:lineChart>
        <c:grouping val="standard"/>
        <c:varyColors val="0"/>
        <c:ser>
          <c:idx val="0"/>
          <c:order val="0"/>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3725-4F85-BC3E-C1D58A26C33A}"/>
              </c:ext>
            </c:extLst>
          </c:dPt>
          <c:dPt>
            <c:idx val="2"/>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3725-4F85-BC3E-C1D58A26C33A}"/>
              </c:ext>
            </c:extLst>
          </c:dPt>
          <c:dPt>
            <c:idx val="3"/>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C-3725-4F85-BC3E-C1D58A26C33A}"/>
              </c:ext>
            </c:extLst>
          </c:dPt>
          <c:dPt>
            <c:idx val="4"/>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3725-4F85-BC3E-C1D58A26C33A}"/>
              </c:ext>
            </c:extLst>
          </c:dPt>
          <c:dPt>
            <c:idx val="5"/>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E-3725-4F85-BC3E-C1D58A26C33A}"/>
              </c:ext>
            </c:extLst>
          </c:dPt>
          <c:dPt>
            <c:idx val="6"/>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3725-4F85-BC3E-C1D58A26C33A}"/>
              </c:ext>
            </c:extLst>
          </c:dPt>
          <c:dPt>
            <c:idx val="7"/>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0-3725-4F85-BC3E-C1D58A26C33A}"/>
              </c:ext>
            </c:extLst>
          </c:dPt>
          <c:dPt>
            <c:idx val="8"/>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3725-4F85-BC3E-C1D58A26C33A}"/>
              </c:ext>
            </c:extLst>
          </c:dPt>
          <c:dPt>
            <c:idx val="9"/>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3725-4F85-BC3E-C1D58A26C33A}"/>
              </c:ext>
            </c:extLst>
          </c:dPt>
          <c:dPt>
            <c:idx val="10"/>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2-3725-4F85-BC3E-C1D58A26C33A}"/>
              </c:ext>
            </c:extLst>
          </c:dPt>
          <c:dPt>
            <c:idx val="11"/>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3725-4F85-BC3E-C1D58A26C3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s-PE"/>
              </a:p>
            </c:txPr>
            <c:dLblPos val="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-BSC'!$C$12:$N$12</c:f>
              <c:numCache>
                <c:formatCode>0.0</c:formatCode>
                <c:ptCount val="12"/>
                <c:pt idx="0">
                  <c:v>96</c:v>
                </c:pt>
                <c:pt idx="1">
                  <c:v>100</c:v>
                </c:pt>
                <c:pt idx="2">
                  <c:v>100</c:v>
                </c:pt>
                <c:pt idx="3" formatCode="0">
                  <c:v>100</c:v>
                </c:pt>
                <c:pt idx="4" formatCode="0">
                  <c:v>88</c:v>
                </c:pt>
                <c:pt idx="5">
                  <c:v>91</c:v>
                </c:pt>
                <c:pt idx="6">
                  <c:v>89</c:v>
                </c:pt>
                <c:pt idx="7">
                  <c:v>95</c:v>
                </c:pt>
                <c:pt idx="8">
                  <c:v>96</c:v>
                </c:pt>
                <c:pt idx="9">
                  <c:v>100</c:v>
                </c:pt>
                <c:pt idx="10">
                  <c:v>100</c:v>
                </c:pt>
              </c:numCache>
            </c:numRef>
          </c:val>
          <c:smooth val="1"/>
          <c:extLst>
            <c:ext xmlns:c16="http://schemas.microsoft.com/office/drawing/2014/chart" uri="{C3380CC4-5D6E-409C-BE32-E72D297353CC}">
              <c16:uniqueId val="{00000000-3725-4F85-BC3E-C1D58A26C33A}"/>
            </c:ext>
          </c:extLst>
        </c:ser>
        <c:ser>
          <c:idx val="1"/>
          <c:order val="1"/>
          <c:spPr>
            <a:ln w="34925" cap="rnd">
              <a:solidFill>
                <a:srgbClr val="FF0000"/>
              </a:solidFill>
              <a:round/>
            </a:ln>
            <a:effectLst>
              <a:outerShdw blurRad="40000" dist="23000" dir="5400000" rotWithShape="0">
                <a:srgbClr val="000000">
                  <a:alpha val="35000"/>
                </a:srgbClr>
              </a:outerShdw>
            </a:effectLst>
          </c:spPr>
          <c:marker>
            <c:symbol val="none"/>
          </c:marker>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-BSC'!$C$13:$N$13</c:f>
              <c:numCache>
                <c:formatCode>0</c:formatCode>
                <c:ptCount val="12"/>
                <c:pt idx="0">
                  <c:v>95</c:v>
                </c:pt>
                <c:pt idx="1">
                  <c:v>95</c:v>
                </c:pt>
                <c:pt idx="2">
                  <c:v>95</c:v>
                </c:pt>
                <c:pt idx="3">
                  <c:v>95</c:v>
                </c:pt>
                <c:pt idx="4">
                  <c:v>95</c:v>
                </c:pt>
                <c:pt idx="5">
                  <c:v>95</c:v>
                </c:pt>
                <c:pt idx="6">
                  <c:v>95</c:v>
                </c:pt>
                <c:pt idx="7">
                  <c:v>95</c:v>
                </c:pt>
                <c:pt idx="8">
                  <c:v>95</c:v>
                </c:pt>
                <c:pt idx="9">
                  <c:v>95</c:v>
                </c:pt>
                <c:pt idx="10">
                  <c:v>95</c:v>
                </c:pt>
                <c:pt idx="11">
                  <c:v>95</c:v>
                </c:pt>
              </c:numCache>
            </c:numRef>
          </c:val>
          <c:smooth val="0"/>
          <c:extLst>
            <c:ext xmlns:c16="http://schemas.microsoft.com/office/drawing/2014/chart" uri="{C3380CC4-5D6E-409C-BE32-E72D297353CC}">
              <c16:uniqueId val="{00000001-3725-4F85-BC3E-C1D58A26C33A}"/>
            </c:ext>
          </c:extLst>
        </c:ser>
        <c:dLbls>
          <c:showLegendKey val="0"/>
          <c:showVal val="0"/>
          <c:showCatName val="0"/>
          <c:showSerName val="0"/>
          <c:showPercent val="0"/>
          <c:showBubbleSize val="0"/>
        </c:dLbls>
        <c:marker val="1"/>
        <c:smooth val="0"/>
        <c:axId val="113382847"/>
        <c:axId val="1906873391"/>
      </c:lineChart>
      <c:catAx>
        <c:axId val="113382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PE"/>
          </a:p>
        </c:txPr>
        <c:crossAx val="1906873391"/>
        <c:crosses val="autoZero"/>
        <c:auto val="1"/>
        <c:lblAlgn val="ctr"/>
        <c:lblOffset val="100"/>
        <c:noMultiLvlLbl val="0"/>
      </c:catAx>
      <c:valAx>
        <c:axId val="1906873391"/>
        <c:scaling>
          <c:orientation val="minMax"/>
          <c:max val="110"/>
          <c:min val="74"/>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PE"/>
          </a:p>
        </c:txPr>
        <c:crossAx val="113382847"/>
        <c:crosses val="autoZero"/>
        <c:crossBetween val="midCat"/>
      </c:valAx>
      <c:spPr>
        <a:solidFill>
          <a:srgbClr val="00FF00"/>
        </a:solidFill>
        <a:ln>
          <a:solidFill>
            <a:srgbClr val="808080"/>
          </a:solidFill>
        </a:ln>
        <a:effectLst/>
      </c:spPr>
    </c:plotArea>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466725</xdr:colOff>
      <xdr:row>32</xdr:row>
      <xdr:rowOff>109236</xdr:rowOff>
    </xdr:from>
    <xdr:to>
      <xdr:col>2</xdr:col>
      <xdr:colOff>295275</xdr:colOff>
      <xdr:row>34</xdr:row>
      <xdr:rowOff>12056</xdr:rowOff>
    </xdr:to>
    <xdr:sp macro="" textlink="">
      <xdr:nvSpPr>
        <xdr:cNvPr id="6" name="Text Box 5">
          <a:extLst>
            <a:ext uri="{FF2B5EF4-FFF2-40B4-BE49-F238E27FC236}">
              <a16:creationId xmlns:a16="http://schemas.microsoft.com/office/drawing/2014/main" id="{00000000-0008-0000-0000-000006000000}"/>
            </a:ext>
          </a:extLst>
        </xdr:cNvPr>
        <xdr:cNvSpPr txBox="1">
          <a:spLocks noChangeArrowheads="1"/>
        </xdr:cNvSpPr>
      </xdr:nvSpPr>
      <xdr:spPr bwMode="auto">
        <a:xfrm>
          <a:off x="756092" y="5788065"/>
          <a:ext cx="1432126" cy="228358"/>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INDICADOR</a:t>
          </a:r>
        </a:p>
      </xdr:txBody>
    </xdr:sp>
    <xdr:clientData/>
  </xdr:twoCellAnchor>
  <xdr:twoCellAnchor>
    <xdr:from>
      <xdr:col>9</xdr:col>
      <xdr:colOff>23812</xdr:colOff>
      <xdr:row>32</xdr:row>
      <xdr:rowOff>95249</xdr:rowOff>
    </xdr:from>
    <xdr:to>
      <xdr:col>11</xdr:col>
      <xdr:colOff>419100</xdr:colOff>
      <xdr:row>34</xdr:row>
      <xdr:rowOff>0</xdr:rowOff>
    </xdr:to>
    <xdr:sp macro="" textlink="">
      <xdr:nvSpPr>
        <xdr:cNvPr id="9" name="Text Box 8">
          <a:extLst>
            <a:ext uri="{FF2B5EF4-FFF2-40B4-BE49-F238E27FC236}">
              <a16:creationId xmlns:a16="http://schemas.microsoft.com/office/drawing/2014/main" id="{00000000-0008-0000-0000-000009000000}"/>
            </a:ext>
          </a:extLst>
        </xdr:cNvPr>
        <xdr:cNvSpPr txBox="1">
          <a:spLocks noChangeArrowheads="1"/>
        </xdr:cNvSpPr>
      </xdr:nvSpPr>
      <xdr:spPr bwMode="auto">
        <a:xfrm>
          <a:off x="9917906" y="7691437"/>
          <a:ext cx="2657475" cy="238126"/>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RESPONSABLES</a:t>
          </a:r>
        </a:p>
      </xdr:txBody>
    </xdr:sp>
    <xdr:clientData/>
  </xdr:twoCellAnchor>
  <xdr:twoCellAnchor>
    <xdr:from>
      <xdr:col>3</xdr:col>
      <xdr:colOff>238727</xdr:colOff>
      <xdr:row>32</xdr:row>
      <xdr:rowOff>73065</xdr:rowOff>
    </xdr:from>
    <xdr:to>
      <xdr:col>5</xdr:col>
      <xdr:colOff>381602</xdr:colOff>
      <xdr:row>34</xdr:row>
      <xdr:rowOff>0</xdr:rowOff>
    </xdr:to>
    <xdr:sp macro="" textlink="">
      <xdr:nvSpPr>
        <xdr:cNvPr id="68" name="Text Box 6">
          <a:extLst>
            <a:ext uri="{FF2B5EF4-FFF2-40B4-BE49-F238E27FC236}">
              <a16:creationId xmlns:a16="http://schemas.microsoft.com/office/drawing/2014/main" id="{00000000-0008-0000-0000-000044000000}"/>
            </a:ext>
          </a:extLst>
        </xdr:cNvPr>
        <xdr:cNvSpPr txBox="1">
          <a:spLocks noChangeArrowheads="1"/>
        </xdr:cNvSpPr>
      </xdr:nvSpPr>
      <xdr:spPr bwMode="auto">
        <a:xfrm>
          <a:off x="2891259" y="5751894"/>
          <a:ext cx="1493254" cy="252473"/>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FACTORES</a:t>
          </a:r>
        </a:p>
      </xdr:txBody>
    </xdr:sp>
    <xdr:clientData/>
  </xdr:twoCellAnchor>
  <xdr:twoCellAnchor>
    <xdr:from>
      <xdr:col>6</xdr:col>
      <xdr:colOff>55340</xdr:colOff>
      <xdr:row>32</xdr:row>
      <xdr:rowOff>73065</xdr:rowOff>
    </xdr:from>
    <xdr:to>
      <xdr:col>8</xdr:col>
      <xdr:colOff>293465</xdr:colOff>
      <xdr:row>33</xdr:row>
      <xdr:rowOff>144683</xdr:rowOff>
    </xdr:to>
    <xdr:sp macro="" textlink="">
      <xdr:nvSpPr>
        <xdr:cNvPr id="69" name="Text Box 7">
          <a:extLst>
            <a:ext uri="{FF2B5EF4-FFF2-40B4-BE49-F238E27FC236}">
              <a16:creationId xmlns:a16="http://schemas.microsoft.com/office/drawing/2014/main" id="{00000000-0008-0000-0000-000045000000}"/>
            </a:ext>
          </a:extLst>
        </xdr:cNvPr>
        <xdr:cNvSpPr txBox="1">
          <a:spLocks noChangeArrowheads="1"/>
        </xdr:cNvSpPr>
      </xdr:nvSpPr>
      <xdr:spPr bwMode="auto">
        <a:xfrm>
          <a:off x="4926353" y="5751894"/>
          <a:ext cx="1877871" cy="240416"/>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CAUSAS</a:t>
          </a:r>
        </a:p>
      </xdr:txBody>
    </xdr:sp>
    <xdr:clientData/>
  </xdr:twoCellAnchor>
  <xdr:twoCellAnchor editAs="oneCell">
    <xdr:from>
      <xdr:col>0</xdr:col>
      <xdr:colOff>107156</xdr:colOff>
      <xdr:row>0</xdr:row>
      <xdr:rowOff>35719</xdr:rowOff>
    </xdr:from>
    <xdr:to>
      <xdr:col>1</xdr:col>
      <xdr:colOff>171979</xdr:colOff>
      <xdr:row>0</xdr:row>
      <xdr:rowOff>649553</xdr:rowOff>
    </xdr:to>
    <xdr:pic>
      <xdr:nvPicPr>
        <xdr:cNvPr id="26" name="Picture 1">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7156" y="35719"/>
          <a:ext cx="910167" cy="613834"/>
        </a:xfrm>
        <a:prstGeom prst="rect">
          <a:avLst/>
        </a:prstGeom>
        <a:noFill/>
        <a:ln w="9525">
          <a:noFill/>
          <a:miter lim="800000"/>
          <a:headEnd/>
          <a:tailEnd/>
        </a:ln>
      </xdr:spPr>
    </xdr:pic>
    <xdr:clientData/>
  </xdr:twoCellAnchor>
  <xdr:twoCellAnchor>
    <xdr:from>
      <xdr:col>3</xdr:col>
      <xdr:colOff>130969</xdr:colOff>
      <xdr:row>10</xdr:row>
      <xdr:rowOff>95250</xdr:rowOff>
    </xdr:from>
    <xdr:to>
      <xdr:col>9</xdr:col>
      <xdr:colOff>1023937</xdr:colOff>
      <xdr:row>11</xdr:row>
      <xdr:rowOff>250032</xdr:rowOff>
    </xdr:to>
    <xdr:sp macro="" textlink="">
      <xdr:nvSpPr>
        <xdr:cNvPr id="28" name="Rectangle 1">
          <a:extLst>
            <a:ext uri="{FF2B5EF4-FFF2-40B4-BE49-F238E27FC236}">
              <a16:creationId xmlns:a16="http://schemas.microsoft.com/office/drawing/2014/main" id="{00000000-0008-0000-0000-00001C000000}"/>
            </a:ext>
          </a:extLst>
        </xdr:cNvPr>
        <xdr:cNvSpPr>
          <a:spLocks noChangeArrowheads="1"/>
        </xdr:cNvSpPr>
      </xdr:nvSpPr>
      <xdr:spPr bwMode="auto">
        <a:xfrm>
          <a:off x="2809875" y="3988594"/>
          <a:ext cx="8501062" cy="511969"/>
        </a:xfrm>
        <a:prstGeom prst="rect">
          <a:avLst/>
        </a:prstGeom>
        <a:solidFill>
          <a:srgbClr val="FFFFFF"/>
        </a:solidFill>
        <a:ln w="9525">
          <a:solidFill>
            <a:schemeClr val="bg1"/>
          </a:solidFill>
          <a:miter lim="800000"/>
          <a:headEnd/>
          <a:tailEnd/>
        </a:ln>
      </xdr:spPr>
      <xdr:txBody>
        <a:bodyPr vertOverflow="clip" wrap="square" lIns="27432" tIns="22860" rIns="0" bIns="22860" anchor="ctr" upright="1"/>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u="sng" strike="noStrike" baseline="0">
              <a:solidFill>
                <a:srgbClr val="000000"/>
              </a:solidFill>
              <a:latin typeface="Century Gothic" panose="020B0502020202020204" pitchFamily="34" charset="0"/>
              <a:cs typeface="Arial"/>
            </a:rPr>
            <a:t> (</a:t>
          </a:r>
          <a:r>
            <a:rPr lang="en-US" sz="1200" b="0" i="0" u="sng" baseline="0">
              <a:effectLst/>
              <a:latin typeface="Century Gothic" panose="020B0502020202020204" pitchFamily="34" charset="0"/>
              <a:ea typeface="+mn-ea"/>
              <a:cs typeface="+mn-cs"/>
            </a:rPr>
            <a:t>N° Total de maniobras realizadas - ( N° maniobras con novedad x peso del tipo de novedad)</a:t>
          </a:r>
          <a:r>
            <a:rPr kumimoji="0" lang="en-US" sz="1200" b="0" i="0" u="sng"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  </a:t>
          </a:r>
          <a:r>
            <a:rPr kumimoji="0" lang="en-US"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x 100 % </a:t>
          </a:r>
          <a:endParaRPr kumimoji="0" lang="es-PE"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200" b="0" i="0" baseline="0">
              <a:effectLst/>
              <a:latin typeface="Century Gothic" panose="020B0502020202020204" pitchFamily="34" charset="0"/>
              <a:ea typeface="+mn-ea"/>
              <a:cs typeface="+mn-cs"/>
            </a:rPr>
            <a:t>                                                    N° Total de maniobras realizadas</a:t>
          </a:r>
          <a:endParaRPr kumimoji="0" lang="es-PE"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xdr:txBody>
    </xdr:sp>
    <xdr:clientData/>
  </xdr:twoCellAnchor>
  <xdr:twoCellAnchor>
    <xdr:from>
      <xdr:col>0</xdr:col>
      <xdr:colOff>466725</xdr:colOff>
      <xdr:row>32</xdr:row>
      <xdr:rowOff>109236</xdr:rowOff>
    </xdr:from>
    <xdr:to>
      <xdr:col>2</xdr:col>
      <xdr:colOff>295275</xdr:colOff>
      <xdr:row>34</xdr:row>
      <xdr:rowOff>12056</xdr:rowOff>
    </xdr:to>
    <xdr:sp macro="" textlink="">
      <xdr:nvSpPr>
        <xdr:cNvPr id="29" name="Text Box 5">
          <a:extLst>
            <a:ext uri="{FF2B5EF4-FFF2-40B4-BE49-F238E27FC236}">
              <a16:creationId xmlns:a16="http://schemas.microsoft.com/office/drawing/2014/main" id="{00000000-0008-0000-0000-00001D000000}"/>
            </a:ext>
          </a:extLst>
        </xdr:cNvPr>
        <xdr:cNvSpPr txBox="1">
          <a:spLocks noChangeArrowheads="1"/>
        </xdr:cNvSpPr>
      </xdr:nvSpPr>
      <xdr:spPr bwMode="auto">
        <a:xfrm>
          <a:off x="466725" y="8300736"/>
          <a:ext cx="1533525" cy="236195"/>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INDICADOR</a:t>
          </a:r>
        </a:p>
      </xdr:txBody>
    </xdr:sp>
    <xdr:clientData/>
  </xdr:twoCellAnchor>
  <xdr:twoCellAnchor>
    <xdr:from>
      <xdr:col>9</xdr:col>
      <xdr:colOff>23812</xdr:colOff>
      <xdr:row>32</xdr:row>
      <xdr:rowOff>95249</xdr:rowOff>
    </xdr:from>
    <xdr:to>
      <xdr:col>11</xdr:col>
      <xdr:colOff>419100</xdr:colOff>
      <xdr:row>34</xdr:row>
      <xdr:rowOff>0</xdr:rowOff>
    </xdr:to>
    <xdr:sp macro="" textlink="">
      <xdr:nvSpPr>
        <xdr:cNvPr id="30" name="Text Box 8">
          <a:extLst>
            <a:ext uri="{FF2B5EF4-FFF2-40B4-BE49-F238E27FC236}">
              <a16:creationId xmlns:a16="http://schemas.microsoft.com/office/drawing/2014/main" id="{00000000-0008-0000-0000-00001E000000}"/>
            </a:ext>
          </a:extLst>
        </xdr:cNvPr>
        <xdr:cNvSpPr txBox="1">
          <a:spLocks noChangeArrowheads="1"/>
        </xdr:cNvSpPr>
      </xdr:nvSpPr>
      <xdr:spPr bwMode="auto">
        <a:xfrm>
          <a:off x="10301287" y="8286749"/>
          <a:ext cx="2662238" cy="238126"/>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RESPONSABLES</a:t>
          </a:r>
        </a:p>
      </xdr:txBody>
    </xdr:sp>
    <xdr:clientData/>
  </xdr:twoCellAnchor>
  <xdr:twoCellAnchor>
    <xdr:from>
      <xdr:col>3</xdr:col>
      <xdr:colOff>238727</xdr:colOff>
      <xdr:row>32</xdr:row>
      <xdr:rowOff>73065</xdr:rowOff>
    </xdr:from>
    <xdr:to>
      <xdr:col>5</xdr:col>
      <xdr:colOff>381602</xdr:colOff>
      <xdr:row>34</xdr:row>
      <xdr:rowOff>0</xdr:rowOff>
    </xdr:to>
    <xdr:sp macro="" textlink="">
      <xdr:nvSpPr>
        <xdr:cNvPr id="49" name="Text Box 6">
          <a:extLst>
            <a:ext uri="{FF2B5EF4-FFF2-40B4-BE49-F238E27FC236}">
              <a16:creationId xmlns:a16="http://schemas.microsoft.com/office/drawing/2014/main" id="{00000000-0008-0000-0000-000031000000}"/>
            </a:ext>
          </a:extLst>
        </xdr:cNvPr>
        <xdr:cNvSpPr txBox="1">
          <a:spLocks noChangeArrowheads="1"/>
        </xdr:cNvSpPr>
      </xdr:nvSpPr>
      <xdr:spPr bwMode="auto">
        <a:xfrm>
          <a:off x="2924777" y="8264565"/>
          <a:ext cx="1495425" cy="260310"/>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FACTORES</a:t>
          </a:r>
        </a:p>
      </xdr:txBody>
    </xdr:sp>
    <xdr:clientData/>
  </xdr:twoCellAnchor>
  <xdr:twoCellAnchor>
    <xdr:from>
      <xdr:col>6</xdr:col>
      <xdr:colOff>55340</xdr:colOff>
      <xdr:row>32</xdr:row>
      <xdr:rowOff>73065</xdr:rowOff>
    </xdr:from>
    <xdr:to>
      <xdr:col>8</xdr:col>
      <xdr:colOff>293465</xdr:colOff>
      <xdr:row>33</xdr:row>
      <xdr:rowOff>144683</xdr:rowOff>
    </xdr:to>
    <xdr:sp macro="" textlink="">
      <xdr:nvSpPr>
        <xdr:cNvPr id="50" name="Text Box 7">
          <a:extLst>
            <a:ext uri="{FF2B5EF4-FFF2-40B4-BE49-F238E27FC236}">
              <a16:creationId xmlns:a16="http://schemas.microsoft.com/office/drawing/2014/main" id="{00000000-0008-0000-0000-000032000000}"/>
            </a:ext>
          </a:extLst>
        </xdr:cNvPr>
        <xdr:cNvSpPr txBox="1">
          <a:spLocks noChangeArrowheads="1"/>
        </xdr:cNvSpPr>
      </xdr:nvSpPr>
      <xdr:spPr bwMode="auto">
        <a:xfrm>
          <a:off x="6446615" y="8264565"/>
          <a:ext cx="2705100" cy="243068"/>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CAUSAS</a:t>
          </a:r>
        </a:p>
      </xdr:txBody>
    </xdr:sp>
    <xdr:clientData/>
  </xdr:twoCellAnchor>
  <xdr:twoCellAnchor>
    <xdr:from>
      <xdr:col>0</xdr:col>
      <xdr:colOff>107156</xdr:colOff>
      <xdr:row>39</xdr:row>
      <xdr:rowOff>185734</xdr:rowOff>
    </xdr:from>
    <xdr:to>
      <xdr:col>2</xdr:col>
      <xdr:colOff>250031</xdr:colOff>
      <xdr:row>43</xdr:row>
      <xdr:rowOff>121441</xdr:rowOff>
    </xdr:to>
    <xdr:sp macro="" textlink="">
      <xdr:nvSpPr>
        <xdr:cNvPr id="33" name="Rectangle 34">
          <a:extLst>
            <a:ext uri="{FF2B5EF4-FFF2-40B4-BE49-F238E27FC236}">
              <a16:creationId xmlns:a16="http://schemas.microsoft.com/office/drawing/2014/main" id="{00000000-0008-0000-0000-000021000000}"/>
            </a:ext>
          </a:extLst>
        </xdr:cNvPr>
        <xdr:cNvSpPr>
          <a:spLocks noChangeArrowheads="1"/>
        </xdr:cNvSpPr>
      </xdr:nvSpPr>
      <xdr:spPr bwMode="auto">
        <a:xfrm>
          <a:off x="107156" y="11877672"/>
          <a:ext cx="1845469" cy="13525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000" b="0" i="0" u="none" strike="noStrike" baseline="0">
              <a:solidFill>
                <a:srgbClr val="000000"/>
              </a:solidFill>
              <a:latin typeface="Century Gothic" panose="020B0502020202020204" pitchFamily="34" charset="0"/>
              <a:cs typeface="Arial"/>
            </a:rPr>
            <a:t>% DE MANIOBRAS SIN NOVEDAD</a:t>
          </a:r>
        </a:p>
      </xdr:txBody>
    </xdr:sp>
    <xdr:clientData/>
  </xdr:twoCellAnchor>
  <xdr:twoCellAnchor>
    <xdr:from>
      <xdr:col>3</xdr:col>
      <xdr:colOff>224139</xdr:colOff>
      <xdr:row>35</xdr:row>
      <xdr:rowOff>80088</xdr:rowOff>
    </xdr:from>
    <xdr:to>
      <xdr:col>5</xdr:col>
      <xdr:colOff>464646</xdr:colOff>
      <xdr:row>38</xdr:row>
      <xdr:rowOff>47172</xdr:rowOff>
    </xdr:to>
    <xdr:sp macro="" textlink="">
      <xdr:nvSpPr>
        <xdr:cNvPr id="34" name="Rectangle 35">
          <a:extLst>
            <a:ext uri="{FF2B5EF4-FFF2-40B4-BE49-F238E27FC236}">
              <a16:creationId xmlns:a16="http://schemas.microsoft.com/office/drawing/2014/main" id="{00000000-0008-0000-0000-000022000000}"/>
            </a:ext>
          </a:extLst>
        </xdr:cNvPr>
        <xdr:cNvSpPr>
          <a:spLocks noChangeArrowheads="1"/>
        </xdr:cNvSpPr>
      </xdr:nvSpPr>
      <xdr:spPr bwMode="auto">
        <a:xfrm>
          <a:off x="2903045" y="10676651"/>
          <a:ext cx="1597820" cy="705271"/>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000" b="0" i="0" u="none" strike="noStrike" baseline="0">
              <a:solidFill>
                <a:srgbClr val="000000"/>
              </a:solidFill>
              <a:latin typeface="Century Gothic" panose="020B0502020202020204" pitchFamily="34" charset="0"/>
              <a:cs typeface="Arial"/>
            </a:rPr>
            <a:t>Factores referidos al Cliente</a:t>
          </a:r>
        </a:p>
      </xdr:txBody>
    </xdr:sp>
    <xdr:clientData/>
  </xdr:twoCellAnchor>
  <xdr:twoCellAnchor>
    <xdr:from>
      <xdr:col>3</xdr:col>
      <xdr:colOff>212233</xdr:colOff>
      <xdr:row>42</xdr:row>
      <xdr:rowOff>440531</xdr:rowOff>
    </xdr:from>
    <xdr:to>
      <xdr:col>5</xdr:col>
      <xdr:colOff>440833</xdr:colOff>
      <xdr:row>46</xdr:row>
      <xdr:rowOff>7893</xdr:rowOff>
    </xdr:to>
    <xdr:sp macro="" textlink="">
      <xdr:nvSpPr>
        <xdr:cNvPr id="35" name="Rectangle 36">
          <a:extLst>
            <a:ext uri="{FF2B5EF4-FFF2-40B4-BE49-F238E27FC236}">
              <a16:creationId xmlns:a16="http://schemas.microsoft.com/office/drawing/2014/main" id="{00000000-0008-0000-0000-000023000000}"/>
            </a:ext>
          </a:extLst>
        </xdr:cNvPr>
        <xdr:cNvSpPr>
          <a:spLocks noChangeArrowheads="1"/>
        </xdr:cNvSpPr>
      </xdr:nvSpPr>
      <xdr:spPr bwMode="auto">
        <a:xfrm>
          <a:off x="2891139" y="13049250"/>
          <a:ext cx="1585913" cy="769893"/>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000" b="0" i="0" u="none" strike="noStrike" baseline="0">
              <a:solidFill>
                <a:srgbClr val="000000"/>
              </a:solidFill>
              <a:latin typeface="Century Gothic" panose="020B0502020202020204" pitchFamily="34" charset="0"/>
              <a:cs typeface="Arial"/>
            </a:rPr>
            <a:t>Factores referidos a la operación</a:t>
          </a:r>
        </a:p>
      </xdr:txBody>
    </xdr:sp>
    <xdr:clientData/>
  </xdr:twoCellAnchor>
  <xdr:twoCellAnchor>
    <xdr:from>
      <xdr:col>5</xdr:col>
      <xdr:colOff>2214864</xdr:colOff>
      <xdr:row>35</xdr:row>
      <xdr:rowOff>47625</xdr:rowOff>
    </xdr:from>
    <xdr:to>
      <xdr:col>8</xdr:col>
      <xdr:colOff>200327</xdr:colOff>
      <xdr:row>38</xdr:row>
      <xdr:rowOff>130970</xdr:rowOff>
    </xdr:to>
    <xdr:sp macro="" textlink="">
      <xdr:nvSpPr>
        <xdr:cNvPr id="36" name="Rectangle 37">
          <a:extLst>
            <a:ext uri="{FF2B5EF4-FFF2-40B4-BE49-F238E27FC236}">
              <a16:creationId xmlns:a16="http://schemas.microsoft.com/office/drawing/2014/main" id="{00000000-0008-0000-0000-000024000000}"/>
            </a:ext>
          </a:extLst>
        </xdr:cNvPr>
        <xdr:cNvSpPr>
          <a:spLocks noChangeArrowheads="1"/>
        </xdr:cNvSpPr>
      </xdr:nvSpPr>
      <xdr:spPr bwMode="auto">
        <a:xfrm>
          <a:off x="6251083" y="10644188"/>
          <a:ext cx="2819400" cy="821532"/>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l" rtl="0">
            <a:defRPr sz="1000"/>
          </a:pPr>
          <a:r>
            <a:rPr lang="es-PE" sz="1000" b="0" i="0" u="none" strike="noStrike" baseline="0">
              <a:solidFill>
                <a:srgbClr val="000000"/>
              </a:solidFill>
              <a:latin typeface="Century Gothic" panose="020B0502020202020204" pitchFamily="34" charset="0"/>
              <a:cs typeface="Arial"/>
            </a:rPr>
            <a:t>Comunicación oportuna con el cliente.</a:t>
          </a:r>
        </a:p>
        <a:p>
          <a:pPr algn="l" rtl="0">
            <a:defRPr sz="1000"/>
          </a:pPr>
          <a:r>
            <a:rPr lang="es-PE" sz="1000" b="0" i="0" u="none" strike="noStrike" baseline="0">
              <a:solidFill>
                <a:srgbClr val="000000"/>
              </a:solidFill>
              <a:latin typeface="Century Gothic" panose="020B0502020202020204" pitchFamily="34" charset="0"/>
              <a:cs typeface="Arial"/>
            </a:rPr>
            <a:t>Documentación incompleta para el varado o desvarado </a:t>
          </a:r>
        </a:p>
      </xdr:txBody>
    </xdr:sp>
    <xdr:clientData/>
  </xdr:twoCellAnchor>
  <xdr:twoCellAnchor>
    <xdr:from>
      <xdr:col>8</xdr:col>
      <xdr:colOff>1000427</xdr:colOff>
      <xdr:row>35</xdr:row>
      <xdr:rowOff>69056</xdr:rowOff>
    </xdr:from>
    <xdr:to>
      <xdr:col>10</xdr:col>
      <xdr:colOff>1152827</xdr:colOff>
      <xdr:row>38</xdr:row>
      <xdr:rowOff>95249</xdr:rowOff>
    </xdr:to>
    <xdr:sp macro="" textlink="">
      <xdr:nvSpPr>
        <xdr:cNvPr id="37" name="Rectangle 38">
          <a:extLst>
            <a:ext uri="{FF2B5EF4-FFF2-40B4-BE49-F238E27FC236}">
              <a16:creationId xmlns:a16="http://schemas.microsoft.com/office/drawing/2014/main" id="{00000000-0008-0000-0000-000025000000}"/>
            </a:ext>
          </a:extLst>
        </xdr:cNvPr>
        <xdr:cNvSpPr>
          <a:spLocks noChangeArrowheads="1"/>
        </xdr:cNvSpPr>
      </xdr:nvSpPr>
      <xdr:spPr bwMode="auto">
        <a:xfrm>
          <a:off x="9870583" y="10665619"/>
          <a:ext cx="2605088" cy="764380"/>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algn="ctr" rtl="0">
            <a:defRPr sz="1000"/>
          </a:pPr>
          <a:r>
            <a:rPr lang="es-PE" sz="1000" b="0" i="0" u="none" strike="noStrike" baseline="0">
              <a:solidFill>
                <a:srgbClr val="000000"/>
              </a:solidFill>
              <a:latin typeface="Century Gothic" panose="020B0502020202020204" pitchFamily="34" charset="0"/>
              <a:cs typeface="Arial"/>
            </a:rPr>
            <a:t>Jefe de Operaciones / Asistente Comercial</a:t>
          </a:r>
        </a:p>
      </xdr:txBody>
    </xdr:sp>
    <xdr:clientData/>
  </xdr:twoCellAnchor>
  <xdr:twoCellAnchor>
    <xdr:from>
      <xdr:col>5</xdr:col>
      <xdr:colOff>2214864</xdr:colOff>
      <xdr:row>38</xdr:row>
      <xdr:rowOff>321618</xdr:rowOff>
    </xdr:from>
    <xdr:to>
      <xdr:col>8</xdr:col>
      <xdr:colOff>200327</xdr:colOff>
      <xdr:row>41</xdr:row>
      <xdr:rowOff>904</xdr:rowOff>
    </xdr:to>
    <xdr:sp macro="" textlink="">
      <xdr:nvSpPr>
        <xdr:cNvPr id="38" name="Rectangle 39">
          <a:extLst>
            <a:ext uri="{FF2B5EF4-FFF2-40B4-BE49-F238E27FC236}">
              <a16:creationId xmlns:a16="http://schemas.microsoft.com/office/drawing/2014/main" id="{00000000-0008-0000-0000-000026000000}"/>
            </a:ext>
          </a:extLst>
        </xdr:cNvPr>
        <xdr:cNvSpPr>
          <a:spLocks noChangeArrowheads="1"/>
        </xdr:cNvSpPr>
      </xdr:nvSpPr>
      <xdr:spPr bwMode="auto">
        <a:xfrm>
          <a:off x="6251083" y="11656368"/>
          <a:ext cx="2819400" cy="76275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rtl="0"/>
          <a:r>
            <a:rPr lang="es-PE" sz="1000" b="0" i="0" baseline="0">
              <a:effectLst/>
              <a:latin typeface="Century Gothic" panose="020B0502020202020204" pitchFamily="34" charset="0"/>
              <a:ea typeface="+mn-ea"/>
              <a:cs typeface="Arial" panose="020B0604020202020204" pitchFamily="34" charset="0"/>
            </a:rPr>
            <a:t>Falta Mantto. oportuno sistema de varado.</a:t>
          </a:r>
        </a:p>
        <a:p>
          <a:pPr rtl="0"/>
          <a:r>
            <a:rPr lang="es-PE" sz="1000" b="0" i="0" baseline="0">
              <a:effectLst/>
              <a:latin typeface="Century Gothic" panose="020B0502020202020204" pitchFamily="34" charset="0"/>
              <a:ea typeface="+mn-ea"/>
              <a:cs typeface="Arial" panose="020B0604020202020204" pitchFamily="34" charset="0"/>
            </a:rPr>
            <a:t>Información técnica inadecuada.</a:t>
          </a:r>
        </a:p>
        <a:p>
          <a:pPr rtl="0"/>
          <a:r>
            <a:rPr lang="es-PE" sz="1000" b="0" i="0" baseline="0">
              <a:effectLst/>
              <a:latin typeface="Century Gothic" panose="020B0502020202020204" pitchFamily="34" charset="0"/>
              <a:ea typeface="+mn-ea"/>
              <a:cs typeface="Arial" panose="020B0604020202020204" pitchFamily="34" charset="0"/>
            </a:rPr>
            <a:t>Falta de información Técnica</a:t>
          </a:r>
        </a:p>
      </xdr:txBody>
    </xdr:sp>
    <xdr:clientData/>
  </xdr:twoCellAnchor>
  <xdr:twoCellAnchor>
    <xdr:from>
      <xdr:col>8</xdr:col>
      <xdr:colOff>1000427</xdr:colOff>
      <xdr:row>38</xdr:row>
      <xdr:rowOff>347663</xdr:rowOff>
    </xdr:from>
    <xdr:to>
      <xdr:col>10</xdr:col>
      <xdr:colOff>1152827</xdr:colOff>
      <xdr:row>40</xdr:row>
      <xdr:rowOff>333525</xdr:rowOff>
    </xdr:to>
    <xdr:sp macro="" textlink="">
      <xdr:nvSpPr>
        <xdr:cNvPr id="39" name="Rectangle 40">
          <a:extLst>
            <a:ext uri="{FF2B5EF4-FFF2-40B4-BE49-F238E27FC236}">
              <a16:creationId xmlns:a16="http://schemas.microsoft.com/office/drawing/2014/main" id="{00000000-0008-0000-0000-000027000000}"/>
            </a:ext>
          </a:extLst>
        </xdr:cNvPr>
        <xdr:cNvSpPr>
          <a:spLocks noChangeArrowheads="1"/>
        </xdr:cNvSpPr>
      </xdr:nvSpPr>
      <xdr:spPr bwMode="auto">
        <a:xfrm>
          <a:off x="9870583" y="11682413"/>
          <a:ext cx="2605088" cy="724050"/>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algn="ctr" rtl="0">
            <a:defRPr sz="1000"/>
          </a:pPr>
          <a:r>
            <a:rPr lang="es-PE" sz="1000" b="0" i="0" u="none" strike="noStrike" baseline="0">
              <a:solidFill>
                <a:srgbClr val="000000"/>
              </a:solidFill>
              <a:latin typeface="Century Gothic" panose="020B0502020202020204" pitchFamily="34" charset="0"/>
              <a:cs typeface="Arial"/>
            </a:rPr>
            <a:t>Jefe de Diseño / Jefe Mantenimiento y Control de Calidad</a:t>
          </a:r>
        </a:p>
      </xdr:txBody>
    </xdr:sp>
    <xdr:clientData/>
  </xdr:twoCellAnchor>
  <xdr:twoCellAnchor>
    <xdr:from>
      <xdr:col>5</xdr:col>
      <xdr:colOff>2238676</xdr:colOff>
      <xdr:row>42</xdr:row>
      <xdr:rowOff>488157</xdr:rowOff>
    </xdr:from>
    <xdr:to>
      <xdr:col>8</xdr:col>
      <xdr:colOff>224139</xdr:colOff>
      <xdr:row>45</xdr:row>
      <xdr:rowOff>214312</xdr:rowOff>
    </xdr:to>
    <xdr:sp macro="" textlink="">
      <xdr:nvSpPr>
        <xdr:cNvPr id="40" name="Rectangle 42">
          <a:extLst>
            <a:ext uri="{FF2B5EF4-FFF2-40B4-BE49-F238E27FC236}">
              <a16:creationId xmlns:a16="http://schemas.microsoft.com/office/drawing/2014/main" id="{00000000-0008-0000-0000-000028000000}"/>
            </a:ext>
          </a:extLst>
        </xdr:cNvPr>
        <xdr:cNvSpPr>
          <a:spLocks noChangeArrowheads="1"/>
        </xdr:cNvSpPr>
      </xdr:nvSpPr>
      <xdr:spPr bwMode="auto">
        <a:xfrm>
          <a:off x="6274895" y="13096876"/>
          <a:ext cx="2819400" cy="666749"/>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l" rtl="0">
            <a:defRPr sz="1000"/>
          </a:pPr>
          <a:r>
            <a:rPr lang="es-PE" sz="1000" b="0" i="0" u="none" strike="noStrike" baseline="0">
              <a:solidFill>
                <a:srgbClr val="000000"/>
              </a:solidFill>
              <a:latin typeface="Century Gothic" panose="020B0502020202020204" pitchFamily="34" charset="0"/>
              <a:cs typeface="Arial"/>
            </a:rPr>
            <a:t>Programación de trabajos.</a:t>
          </a:r>
        </a:p>
        <a:p>
          <a:pPr algn="l" rtl="0">
            <a:defRPr sz="1000"/>
          </a:pPr>
          <a:r>
            <a:rPr lang="es-PE" sz="1000" b="0" i="0" u="none" strike="noStrike" baseline="0">
              <a:solidFill>
                <a:srgbClr val="000000"/>
              </a:solidFill>
              <a:latin typeface="Century Gothic" panose="020B0502020202020204" pitchFamily="34" charset="0"/>
              <a:cs typeface="Arial"/>
            </a:rPr>
            <a:t>Factores climáticos</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s-PE" sz="1000" b="0" i="0" baseline="0">
              <a:effectLst/>
              <a:latin typeface="Century Gothic" panose="020B0502020202020204" pitchFamily="34" charset="0"/>
              <a:ea typeface="+mn-ea"/>
              <a:cs typeface="+mn-cs"/>
            </a:rPr>
            <a:t>Mala maniobra de remolcador de apoyo</a:t>
          </a:r>
          <a:endParaRPr lang="es-PE">
            <a:effectLst/>
            <a:latin typeface="Century Gothic" panose="020B0502020202020204" pitchFamily="34" charset="0"/>
          </a:endParaRPr>
        </a:p>
      </xdr:txBody>
    </xdr:sp>
    <xdr:clientData/>
  </xdr:twoCellAnchor>
  <xdr:twoCellAnchor>
    <xdr:from>
      <xdr:col>8</xdr:col>
      <xdr:colOff>1036146</xdr:colOff>
      <xdr:row>43</xdr:row>
      <xdr:rowOff>20555</xdr:rowOff>
    </xdr:from>
    <xdr:to>
      <xdr:col>10</xdr:col>
      <xdr:colOff>1188546</xdr:colOff>
      <xdr:row>45</xdr:row>
      <xdr:rowOff>178593</xdr:rowOff>
    </xdr:to>
    <xdr:sp macro="" textlink="">
      <xdr:nvSpPr>
        <xdr:cNvPr id="41" name="Rectangle 43">
          <a:extLst>
            <a:ext uri="{FF2B5EF4-FFF2-40B4-BE49-F238E27FC236}">
              <a16:creationId xmlns:a16="http://schemas.microsoft.com/office/drawing/2014/main" id="{00000000-0008-0000-0000-000029000000}"/>
            </a:ext>
          </a:extLst>
        </xdr:cNvPr>
        <xdr:cNvSpPr>
          <a:spLocks noChangeArrowheads="1"/>
        </xdr:cNvSpPr>
      </xdr:nvSpPr>
      <xdr:spPr bwMode="auto">
        <a:xfrm>
          <a:off x="9906302" y="13129336"/>
          <a:ext cx="2605088" cy="598570"/>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s-PE" sz="1000" b="0" i="0" baseline="0">
              <a:effectLst/>
              <a:latin typeface="Century Gothic" panose="020B0502020202020204" pitchFamily="34" charset="0"/>
              <a:ea typeface="+mn-ea"/>
              <a:cs typeface="Arial" panose="020B0604020202020204" pitchFamily="34" charset="0"/>
            </a:rPr>
            <a:t>Jefe de Operaciones / Supervisor de Proyectos / Supervisor de maniobras</a:t>
          </a:r>
          <a:endParaRPr lang="es-PE" sz="1000">
            <a:effectLst/>
            <a:latin typeface="Century Gothic" panose="020B0502020202020204" pitchFamily="34" charset="0"/>
            <a:cs typeface="Arial" panose="020B0604020202020204" pitchFamily="34" charset="0"/>
          </a:endParaRPr>
        </a:p>
        <a:p>
          <a:pPr algn="ctr" rtl="0">
            <a:defRPr sz="1000"/>
          </a:pPr>
          <a:endParaRPr lang="es-PE" sz="1000" b="0" i="0" u="none" strike="noStrike" baseline="0">
            <a:solidFill>
              <a:srgbClr val="000000"/>
            </a:solidFill>
            <a:latin typeface="Century Gothic" panose="020B0502020202020204" pitchFamily="34" charset="0"/>
            <a:cs typeface="Arial"/>
          </a:endParaRPr>
        </a:p>
      </xdr:txBody>
    </xdr:sp>
    <xdr:clientData/>
  </xdr:twoCellAnchor>
  <xdr:twoCellAnchor>
    <xdr:from>
      <xdr:col>3</xdr:col>
      <xdr:colOff>226521</xdr:colOff>
      <xdr:row>38</xdr:row>
      <xdr:rowOff>321469</xdr:rowOff>
    </xdr:from>
    <xdr:to>
      <xdr:col>5</xdr:col>
      <xdr:colOff>455121</xdr:colOff>
      <xdr:row>40</xdr:row>
      <xdr:rowOff>300458</xdr:rowOff>
    </xdr:to>
    <xdr:sp macro="" textlink="">
      <xdr:nvSpPr>
        <xdr:cNvPr id="42" name="Rectangle 35">
          <a:extLst>
            <a:ext uri="{FF2B5EF4-FFF2-40B4-BE49-F238E27FC236}">
              <a16:creationId xmlns:a16="http://schemas.microsoft.com/office/drawing/2014/main" id="{00000000-0008-0000-0000-00002A000000}"/>
            </a:ext>
          </a:extLst>
        </xdr:cNvPr>
        <xdr:cNvSpPr>
          <a:spLocks noChangeArrowheads="1"/>
        </xdr:cNvSpPr>
      </xdr:nvSpPr>
      <xdr:spPr bwMode="auto">
        <a:xfrm>
          <a:off x="2905427" y="11656219"/>
          <a:ext cx="1585913" cy="717177"/>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000" b="0" i="0" u="none" strike="noStrike" baseline="0">
              <a:solidFill>
                <a:srgbClr val="000000"/>
              </a:solidFill>
              <a:latin typeface="Century Gothic" panose="020B0502020202020204" pitchFamily="34" charset="0"/>
              <a:cs typeface="Arial"/>
            </a:rPr>
            <a:t>Factores referido a la Maquinaria y Equipo</a:t>
          </a:r>
        </a:p>
      </xdr:txBody>
    </xdr:sp>
    <xdr:clientData/>
  </xdr:twoCellAnchor>
  <xdr:twoCellAnchor>
    <xdr:from>
      <xdr:col>2</xdr:col>
      <xdr:colOff>273843</xdr:colOff>
      <xdr:row>41</xdr:row>
      <xdr:rowOff>12569</xdr:rowOff>
    </xdr:from>
    <xdr:to>
      <xdr:col>3</xdr:col>
      <xdr:colOff>245268</xdr:colOff>
      <xdr:row>43</xdr:row>
      <xdr:rowOff>219739</xdr:rowOff>
    </xdr:to>
    <xdr:cxnSp macro="">
      <xdr:nvCxnSpPr>
        <xdr:cNvPr id="43" name="AutoShape 55">
          <a:extLst>
            <a:ext uri="{FF2B5EF4-FFF2-40B4-BE49-F238E27FC236}">
              <a16:creationId xmlns:a16="http://schemas.microsoft.com/office/drawing/2014/main" id="{00000000-0008-0000-0000-00002B000000}"/>
            </a:ext>
          </a:extLst>
        </xdr:cNvPr>
        <xdr:cNvCxnSpPr>
          <a:cxnSpLocks noChangeShapeType="1"/>
        </xdr:cNvCxnSpPr>
      </xdr:nvCxnSpPr>
      <xdr:spPr bwMode="auto">
        <a:xfrm rot="10800000">
          <a:off x="1976437" y="12430788"/>
          <a:ext cx="947737" cy="897732"/>
        </a:xfrm>
        <a:prstGeom prst="bentConnector3">
          <a:avLst>
            <a:gd name="adj1" fmla="val 50000"/>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xdr:col>
      <xdr:colOff>273843</xdr:colOff>
      <xdr:row>36</xdr:row>
      <xdr:rowOff>64957</xdr:rowOff>
    </xdr:from>
    <xdr:to>
      <xdr:col>3</xdr:col>
      <xdr:colOff>254793</xdr:colOff>
      <xdr:row>41</xdr:row>
      <xdr:rowOff>12569</xdr:rowOff>
    </xdr:to>
    <xdr:cxnSp macro="">
      <xdr:nvCxnSpPr>
        <xdr:cNvPr id="44" name="AutoShape 55">
          <a:extLst>
            <a:ext uri="{FF2B5EF4-FFF2-40B4-BE49-F238E27FC236}">
              <a16:creationId xmlns:a16="http://schemas.microsoft.com/office/drawing/2014/main" id="{00000000-0008-0000-0000-00002C000000}"/>
            </a:ext>
          </a:extLst>
        </xdr:cNvPr>
        <xdr:cNvCxnSpPr>
          <a:cxnSpLocks noChangeShapeType="1"/>
        </xdr:cNvCxnSpPr>
      </xdr:nvCxnSpPr>
      <xdr:spPr bwMode="auto">
        <a:xfrm rot="10800000" flipV="1">
          <a:off x="1976437" y="10923457"/>
          <a:ext cx="957262" cy="1507331"/>
        </a:xfrm>
        <a:prstGeom prst="bentConnector3">
          <a:avLst>
            <a:gd name="adj1" fmla="val 50000"/>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xdr:col>
      <xdr:colOff>483695</xdr:colOff>
      <xdr:row>39</xdr:row>
      <xdr:rowOff>215187</xdr:rowOff>
    </xdr:from>
    <xdr:to>
      <xdr:col>5</xdr:col>
      <xdr:colOff>2243438</xdr:colOff>
      <xdr:row>39</xdr:row>
      <xdr:rowOff>238125</xdr:rowOff>
    </xdr:to>
    <xdr:cxnSp macro="">
      <xdr:nvCxnSpPr>
        <xdr:cNvPr id="45" name="58 Conector recto">
          <a:extLst>
            <a:ext uri="{FF2B5EF4-FFF2-40B4-BE49-F238E27FC236}">
              <a16:creationId xmlns:a16="http://schemas.microsoft.com/office/drawing/2014/main" id="{00000000-0008-0000-0000-00002D000000}"/>
            </a:ext>
          </a:extLst>
        </xdr:cNvPr>
        <xdr:cNvCxnSpPr/>
      </xdr:nvCxnSpPr>
      <xdr:spPr>
        <a:xfrm>
          <a:off x="4519914" y="11907125"/>
          <a:ext cx="1759743" cy="22938"/>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493220</xdr:colOff>
      <xdr:row>36</xdr:row>
      <xdr:rowOff>59531</xdr:rowOff>
    </xdr:from>
    <xdr:to>
      <xdr:col>5</xdr:col>
      <xdr:colOff>2243437</xdr:colOff>
      <xdr:row>36</xdr:row>
      <xdr:rowOff>69055</xdr:rowOff>
    </xdr:to>
    <xdr:cxnSp macro="">
      <xdr:nvCxnSpPr>
        <xdr:cNvPr id="46" name="59 Conector recto">
          <a:extLst>
            <a:ext uri="{FF2B5EF4-FFF2-40B4-BE49-F238E27FC236}">
              <a16:creationId xmlns:a16="http://schemas.microsoft.com/office/drawing/2014/main" id="{00000000-0008-0000-0000-00002E000000}"/>
            </a:ext>
          </a:extLst>
        </xdr:cNvPr>
        <xdr:cNvCxnSpPr/>
      </xdr:nvCxnSpPr>
      <xdr:spPr>
        <a:xfrm flipV="1">
          <a:off x="4529439" y="10918031"/>
          <a:ext cx="1750217" cy="9524"/>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481012</xdr:colOff>
      <xdr:row>43</xdr:row>
      <xdr:rowOff>195926</xdr:rowOff>
    </xdr:from>
    <xdr:to>
      <xdr:col>5</xdr:col>
      <xdr:colOff>2240755</xdr:colOff>
      <xdr:row>43</xdr:row>
      <xdr:rowOff>218864</xdr:rowOff>
    </xdr:to>
    <xdr:cxnSp macro="">
      <xdr:nvCxnSpPr>
        <xdr:cNvPr id="47" name="69 Conector recto">
          <a:extLst>
            <a:ext uri="{FF2B5EF4-FFF2-40B4-BE49-F238E27FC236}">
              <a16:creationId xmlns:a16="http://schemas.microsoft.com/office/drawing/2014/main" id="{00000000-0008-0000-0000-00002F000000}"/>
            </a:ext>
          </a:extLst>
        </xdr:cNvPr>
        <xdr:cNvCxnSpPr/>
      </xdr:nvCxnSpPr>
      <xdr:spPr>
        <a:xfrm>
          <a:off x="4517231" y="13304707"/>
          <a:ext cx="1759743" cy="22938"/>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7</xdr:col>
      <xdr:colOff>35719</xdr:colOff>
      <xdr:row>27</xdr:row>
      <xdr:rowOff>1</xdr:rowOff>
    </xdr:from>
    <xdr:to>
      <xdr:col>10</xdr:col>
      <xdr:colOff>345282</xdr:colOff>
      <xdr:row>30</xdr:row>
      <xdr:rowOff>130969</xdr:rowOff>
    </xdr:to>
    <xdr:pic>
      <xdr:nvPicPr>
        <xdr:cNvPr id="48" name="Imagen 47">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3813" y="8012907"/>
          <a:ext cx="4024313" cy="1726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42334</xdr:rowOff>
    </xdr:from>
    <xdr:to>
      <xdr:col>1</xdr:col>
      <xdr:colOff>878417</xdr:colOff>
      <xdr:row>0</xdr:row>
      <xdr:rowOff>656168</xdr:rowOff>
    </xdr:to>
    <xdr:pic>
      <xdr:nvPicPr>
        <xdr:cNvPr id="5" name="Picture 1">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500" y="42334"/>
          <a:ext cx="910167" cy="613834"/>
        </a:xfrm>
        <a:prstGeom prst="rect">
          <a:avLst/>
        </a:prstGeom>
        <a:noFill/>
        <a:ln w="9525">
          <a:noFill/>
          <a:miter lim="800000"/>
          <a:headEnd/>
          <a:tailEnd/>
        </a:ln>
      </xdr:spPr>
    </xdr:pic>
    <xdr:clientData/>
  </xdr:twoCellAnchor>
  <xdr:twoCellAnchor editAs="oneCell">
    <xdr:from>
      <xdr:col>7</xdr:col>
      <xdr:colOff>357189</xdr:colOff>
      <xdr:row>55</xdr:row>
      <xdr:rowOff>154782</xdr:rowOff>
    </xdr:from>
    <xdr:to>
      <xdr:col>8</xdr:col>
      <xdr:colOff>247652</xdr:colOff>
      <xdr:row>56</xdr:row>
      <xdr:rowOff>57151</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81627" y="14216063"/>
          <a:ext cx="771525" cy="223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23813</xdr:colOff>
      <xdr:row>15</xdr:row>
      <xdr:rowOff>140492</xdr:rowOff>
    </xdr:from>
    <xdr:to>
      <xdr:col>14</xdr:col>
      <xdr:colOff>1079500</xdr:colOff>
      <xdr:row>36</xdr:row>
      <xdr:rowOff>23812</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95250</xdr:colOff>
      <xdr:row>3</xdr:row>
      <xdr:rowOff>95250</xdr:rowOff>
    </xdr:from>
    <xdr:to>
      <xdr:col>14</xdr:col>
      <xdr:colOff>806978</xdr:colOff>
      <xdr:row>3</xdr:row>
      <xdr:rowOff>607219</xdr:rowOff>
    </xdr:to>
    <xdr:sp macro="" textlink="">
      <xdr:nvSpPr>
        <xdr:cNvPr id="6" name="Rectangle 1">
          <a:extLst>
            <a:ext uri="{FF2B5EF4-FFF2-40B4-BE49-F238E27FC236}">
              <a16:creationId xmlns:a16="http://schemas.microsoft.com/office/drawing/2014/main" id="{00000000-0008-0000-0100-000006000000}"/>
            </a:ext>
          </a:extLst>
        </xdr:cNvPr>
        <xdr:cNvSpPr>
          <a:spLocks noChangeArrowheads="1"/>
        </xdr:cNvSpPr>
      </xdr:nvSpPr>
      <xdr:spPr bwMode="auto">
        <a:xfrm>
          <a:off x="2836333" y="1428750"/>
          <a:ext cx="8501062" cy="511969"/>
        </a:xfrm>
        <a:prstGeom prst="rect">
          <a:avLst/>
        </a:prstGeom>
        <a:solidFill>
          <a:srgbClr val="FFFFFF"/>
        </a:solidFill>
        <a:ln w="9525">
          <a:solidFill>
            <a:schemeClr val="bg1"/>
          </a:solidFill>
          <a:miter lim="800000"/>
          <a:headEnd/>
          <a:tailEnd/>
        </a:ln>
      </xdr:spPr>
      <xdr:txBody>
        <a:bodyPr vertOverflow="clip" wrap="square" lIns="27432" tIns="22860" rIns="0" bIns="22860" anchor="ctr" upright="1"/>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u="sng" strike="noStrike" baseline="0">
              <a:solidFill>
                <a:srgbClr val="000000"/>
              </a:solidFill>
              <a:latin typeface="Century Gothic" panose="020B0502020202020204" pitchFamily="34" charset="0"/>
              <a:cs typeface="Arial"/>
            </a:rPr>
            <a:t> (</a:t>
          </a:r>
          <a:r>
            <a:rPr lang="en-US" sz="1200" b="0" i="0" u="sng" baseline="0">
              <a:effectLst/>
              <a:latin typeface="Century Gothic" panose="020B0502020202020204" pitchFamily="34" charset="0"/>
              <a:ea typeface="+mn-ea"/>
              <a:cs typeface="+mn-cs"/>
            </a:rPr>
            <a:t>N° Total de maniobras realizadas - ( N° maniobras con novedad x peso del tipo de novedad)</a:t>
          </a:r>
          <a:r>
            <a:rPr kumimoji="0" lang="en-US" sz="1200" b="0" i="0" u="sng"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  </a:t>
          </a:r>
          <a:r>
            <a:rPr kumimoji="0" lang="en-US"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x 100 % </a:t>
          </a:r>
          <a:endParaRPr kumimoji="0" lang="es-PE"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200" b="0" i="0" baseline="0">
              <a:effectLst/>
              <a:latin typeface="Century Gothic" panose="020B0502020202020204" pitchFamily="34" charset="0"/>
              <a:ea typeface="+mn-ea"/>
              <a:cs typeface="+mn-cs"/>
            </a:rPr>
            <a:t>                                                    N° Total de maniobras realizadas</a:t>
          </a:r>
          <a:endParaRPr kumimoji="0" lang="es-PE"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xdr:txBody>
    </xdr:sp>
    <xdr:clientData/>
  </xdr:twoCellAnchor>
  <xdr:twoCellAnchor editAs="oneCell">
    <xdr:from>
      <xdr:col>7</xdr:col>
      <xdr:colOff>357189</xdr:colOff>
      <xdr:row>55</xdr:row>
      <xdr:rowOff>154782</xdr:rowOff>
    </xdr:from>
    <xdr:to>
      <xdr:col>8</xdr:col>
      <xdr:colOff>247652</xdr:colOff>
      <xdr:row>56</xdr:row>
      <xdr:rowOff>57149</xdr:rowOff>
    </xdr:to>
    <xdr:pic>
      <xdr:nvPicPr>
        <xdr:cNvPr id="3" name="Imagen 2">
          <a:extLst>
            <a:ext uri="{FF2B5EF4-FFF2-40B4-BE49-F238E27FC236}">
              <a16:creationId xmlns:a16="http://schemas.microsoft.com/office/drawing/2014/main" id="{0C5B52E6-D560-465D-B98B-9CE5C7BBF4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43539" y="15585282"/>
          <a:ext cx="817563" cy="226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0</xdr:row>
      <xdr:rowOff>247650</xdr:rowOff>
    </xdr:from>
    <xdr:to>
      <xdr:col>2</xdr:col>
      <xdr:colOff>733425</xdr:colOff>
      <xdr:row>2</xdr:row>
      <xdr:rowOff>161925</xdr:rowOff>
    </xdr:to>
    <xdr:pic>
      <xdr:nvPicPr>
        <xdr:cNvPr id="2" name="5 Imagen" descr="Logo TASA - Horizontal">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0" y="247650"/>
          <a:ext cx="1920875" cy="43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24</xdr:row>
      <xdr:rowOff>166688</xdr:rowOff>
    </xdr:from>
    <xdr:to>
      <xdr:col>2</xdr:col>
      <xdr:colOff>750094</xdr:colOff>
      <xdr:row>26</xdr:row>
      <xdr:rowOff>284885</xdr:rowOff>
    </xdr:to>
    <xdr:pic>
      <xdr:nvPicPr>
        <xdr:cNvPr id="3" name="Imagen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400" y="6846888"/>
          <a:ext cx="1975644" cy="886547"/>
        </a:xfrm>
        <a:prstGeom prst="rect">
          <a:avLst/>
        </a:prstGeom>
        <a:noFill/>
        <a:ln>
          <a:noFill/>
        </a:ln>
      </xdr:spPr>
    </xdr:pic>
    <xdr:clientData/>
  </xdr:twoCellAnchor>
  <xdr:twoCellAnchor>
    <xdr:from>
      <xdr:col>19</xdr:col>
      <xdr:colOff>654843</xdr:colOff>
      <xdr:row>6</xdr:row>
      <xdr:rowOff>83344</xdr:rowOff>
    </xdr:from>
    <xdr:to>
      <xdr:col>25</xdr:col>
      <xdr:colOff>452437</xdr:colOff>
      <xdr:row>6</xdr:row>
      <xdr:rowOff>595312</xdr:rowOff>
    </xdr:to>
    <xdr:sp macro="" textlink="">
      <xdr:nvSpPr>
        <xdr:cNvPr id="4" name="Rectangle 1">
          <a:extLst>
            <a:ext uri="{FF2B5EF4-FFF2-40B4-BE49-F238E27FC236}">
              <a16:creationId xmlns:a16="http://schemas.microsoft.com/office/drawing/2014/main" id="{00000000-0008-0000-0200-000004000000}"/>
            </a:ext>
          </a:extLst>
        </xdr:cNvPr>
        <xdr:cNvSpPr>
          <a:spLocks noChangeArrowheads="1"/>
        </xdr:cNvSpPr>
      </xdr:nvSpPr>
      <xdr:spPr bwMode="auto">
        <a:xfrm>
          <a:off x="13278643" y="1429544"/>
          <a:ext cx="7138194" cy="511968"/>
        </a:xfrm>
        <a:prstGeom prst="rect">
          <a:avLst/>
        </a:prstGeom>
        <a:solidFill>
          <a:srgbClr val="FFFFFF"/>
        </a:solidFill>
        <a:ln w="9525">
          <a:solidFill>
            <a:schemeClr val="bg1"/>
          </a:solidFill>
          <a:miter lim="800000"/>
          <a:headEnd/>
          <a:tailEnd/>
        </a:ln>
      </xdr:spPr>
      <xdr:txBody>
        <a:bodyPr vertOverflow="clip" wrap="square" lIns="27432" tIns="22860" rIns="0" bIns="22860" anchor="ctr" upright="1"/>
        <a:lstStyle/>
        <a:p>
          <a:pPr marL="0" marR="0" lvl="0" indent="0" defTabSz="914400" rtl="0" eaLnBrk="1" fontAlgn="auto" latinLnBrk="0" hangingPunct="1">
            <a:lnSpc>
              <a:spcPct val="100000"/>
            </a:lnSpc>
            <a:spcBef>
              <a:spcPts val="0"/>
            </a:spcBef>
            <a:spcAft>
              <a:spcPts val="0"/>
            </a:spcAft>
            <a:buClrTx/>
            <a:buSzTx/>
            <a:buFontTx/>
            <a:buNone/>
            <a:tabLst/>
            <a:defRPr/>
          </a:pPr>
          <a:r>
            <a:rPr lang="en-US" sz="1050" b="0" i="0" u="sng" strike="noStrike" baseline="0">
              <a:solidFill>
                <a:srgbClr val="000000"/>
              </a:solidFill>
              <a:latin typeface="Century Gothic" panose="020B0502020202020204" pitchFamily="34" charset="0"/>
              <a:cs typeface="Arial"/>
            </a:rPr>
            <a:t> (</a:t>
          </a:r>
          <a:r>
            <a:rPr lang="en-US" sz="1050" b="0" i="0" u="sng" baseline="0">
              <a:effectLst/>
              <a:latin typeface="Century Gothic" panose="020B0502020202020204" pitchFamily="34" charset="0"/>
              <a:ea typeface="+mn-ea"/>
              <a:cs typeface="+mn-cs"/>
            </a:rPr>
            <a:t>N° Total maniobras realizadas - ( N° maniobras con novedad x peso del tipo de novedad)</a:t>
          </a:r>
          <a:r>
            <a:rPr kumimoji="0" lang="en-US" sz="1050" b="0" i="0" u="sng"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  </a:t>
          </a:r>
          <a:r>
            <a:rPr kumimoji="0" lang="en-US" sz="105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x 100 % </a:t>
          </a:r>
          <a:endParaRPr kumimoji="0" lang="es-PE" sz="105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050" b="0" i="0" baseline="0">
              <a:effectLst/>
              <a:latin typeface="Century Gothic" panose="020B0502020202020204" pitchFamily="34" charset="0"/>
              <a:ea typeface="+mn-ea"/>
              <a:cs typeface="+mn-cs"/>
            </a:rPr>
            <a:t>                                                    N° Total de maniobras realizadas</a:t>
          </a:r>
          <a:endParaRPr kumimoji="0" lang="es-PE" sz="105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374196</xdr:colOff>
      <xdr:row>2</xdr:row>
      <xdr:rowOff>1224644</xdr:rowOff>
    </xdr:from>
    <xdr:to>
      <xdr:col>12</xdr:col>
      <xdr:colOff>576036</xdr:colOff>
      <xdr:row>8</xdr:row>
      <xdr:rowOff>72685</xdr:rowOff>
    </xdr:to>
    <xdr:pic>
      <xdr:nvPicPr>
        <xdr:cNvPr id="2" name="Imagen 1">
          <a:extLst>
            <a:ext uri="{FF2B5EF4-FFF2-40B4-BE49-F238E27FC236}">
              <a16:creationId xmlns:a16="http://schemas.microsoft.com/office/drawing/2014/main" id="{014F0E79-F278-431C-BD81-14DA7B190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5535" y="1587501"/>
          <a:ext cx="4198938" cy="1718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44450</xdr:colOff>
      <xdr:row>4</xdr:row>
      <xdr:rowOff>133350</xdr:rowOff>
    </xdr:from>
    <xdr:to>
      <xdr:col>12</xdr:col>
      <xdr:colOff>242888</xdr:colOff>
      <xdr:row>13</xdr:row>
      <xdr:rowOff>23018</xdr:rowOff>
    </xdr:to>
    <xdr:pic>
      <xdr:nvPicPr>
        <xdr:cNvPr id="2" name="Imagen 1">
          <a:extLst>
            <a:ext uri="{FF2B5EF4-FFF2-40B4-BE49-F238E27FC236}">
              <a16:creationId xmlns:a16="http://schemas.microsoft.com/office/drawing/2014/main" id="{6147D7BA-D531-4DC2-AF21-13619F715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0850" y="1371600"/>
          <a:ext cx="4198938" cy="1718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44450</xdr:colOff>
      <xdr:row>7</xdr:row>
      <xdr:rowOff>133350</xdr:rowOff>
    </xdr:from>
    <xdr:to>
      <xdr:col>12</xdr:col>
      <xdr:colOff>242888</xdr:colOff>
      <xdr:row>18</xdr:row>
      <xdr:rowOff>92868</xdr:rowOff>
    </xdr:to>
    <xdr:pic>
      <xdr:nvPicPr>
        <xdr:cNvPr id="2" name="Imagen 1">
          <a:extLst>
            <a:ext uri="{FF2B5EF4-FFF2-40B4-BE49-F238E27FC236}">
              <a16:creationId xmlns:a16="http://schemas.microsoft.com/office/drawing/2014/main" id="{2AA12865-C966-4E39-817C-A0BB9EFBF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2300" y="1371600"/>
          <a:ext cx="4198938" cy="1718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50800</xdr:colOff>
      <xdr:row>0</xdr:row>
      <xdr:rowOff>12700</xdr:rowOff>
    </xdr:from>
    <xdr:to>
      <xdr:col>12</xdr:col>
      <xdr:colOff>249238</xdr:colOff>
      <xdr:row>11</xdr:row>
      <xdr:rowOff>105568</xdr:rowOff>
    </xdr:to>
    <xdr:pic>
      <xdr:nvPicPr>
        <xdr:cNvPr id="2" name="Imagen 1">
          <a:extLst>
            <a:ext uri="{FF2B5EF4-FFF2-40B4-BE49-F238E27FC236}">
              <a16:creationId xmlns:a16="http://schemas.microsoft.com/office/drawing/2014/main" id="{8AB4D1DC-EAA1-4351-AB03-DA4DA0D92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12700"/>
          <a:ext cx="4198938" cy="2118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50800</xdr:colOff>
      <xdr:row>0</xdr:row>
      <xdr:rowOff>12700</xdr:rowOff>
    </xdr:from>
    <xdr:to>
      <xdr:col>12</xdr:col>
      <xdr:colOff>249238</xdr:colOff>
      <xdr:row>13</xdr:row>
      <xdr:rowOff>61118</xdr:rowOff>
    </xdr:to>
    <xdr:pic>
      <xdr:nvPicPr>
        <xdr:cNvPr id="2" name="Imagen 1">
          <a:extLst>
            <a:ext uri="{FF2B5EF4-FFF2-40B4-BE49-F238E27FC236}">
              <a16:creationId xmlns:a16="http://schemas.microsoft.com/office/drawing/2014/main" id="{B34FE2C1-5D00-40C6-A1CC-6208C4D593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12700"/>
          <a:ext cx="4198938" cy="2118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hcabanillas_tasa_com_pe/Documents/Velocimentros%20y%20Gau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locimetros "/>
      <sheetName val="Velocimetros con imagenes 1"/>
      <sheetName val="Velocimetros con imagenes 2"/>
      <sheetName val="Velocimetros con imagenes 3"/>
      <sheetName val="Termo 1"/>
      <sheetName val="Excel_Gauge1"/>
      <sheetName val="Excel_Gauge2"/>
      <sheetName val="Excel_Gauge3"/>
      <sheetName val="Excel_Gauge4"/>
      <sheetName val="Excel_Gauge5"/>
      <sheetName val="Excel_Gauge6"/>
      <sheetName val="Enlazado a Celdas"/>
      <sheetName val="0 Fuentes"/>
    </sheetNames>
    <sheetDataSet>
      <sheetData sheetId="0">
        <row r="4">
          <cell r="C4" t="str">
            <v>misdatos</v>
          </cell>
        </row>
        <row r="32">
          <cell r="AK32">
            <v>2.5</v>
          </cell>
        </row>
      </sheetData>
      <sheetData sheetId="1"/>
      <sheetData sheetId="2"/>
      <sheetData sheetId="3"/>
      <sheetData sheetId="4">
        <row r="5">
          <cell r="C5">
            <v>0.45</v>
          </cell>
        </row>
      </sheetData>
      <sheetData sheetId="5"/>
      <sheetData sheetId="6">
        <row r="8">
          <cell r="I8" t="str">
            <v>Red</v>
          </cell>
        </row>
      </sheetData>
      <sheetData sheetId="7">
        <row r="5">
          <cell r="S5">
            <v>35</v>
          </cell>
        </row>
      </sheetData>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L49"/>
  <sheetViews>
    <sheetView showGridLines="0" topLeftCell="C31" zoomScale="80" zoomScaleNormal="80" zoomScaleSheetLayoutView="76" workbookViewId="0">
      <selection activeCell="N27" sqref="N27"/>
    </sheetView>
  </sheetViews>
  <sheetFormatPr baseColWidth="10" defaultColWidth="11.453125" defaultRowHeight="12.5"/>
  <cols>
    <col min="1" max="1" width="12.7265625" customWidth="1"/>
    <col min="2" max="2" width="17.1796875" customWidth="1"/>
    <col min="3" max="3" width="14.7265625" customWidth="1"/>
    <col min="5" max="5" width="8.81640625" customWidth="1"/>
    <col min="6" max="6" width="35.26953125" customWidth="1"/>
    <col min="7" max="7" width="18.1796875" customWidth="1"/>
    <col min="8" max="8" width="18.81640625" customWidth="1"/>
    <col min="9" max="9" width="21.26953125" customWidth="1"/>
    <col min="10" max="10" width="15.54296875" customWidth="1"/>
    <col min="11" max="11" width="18.453125" customWidth="1"/>
    <col min="12" max="12" width="18.1796875" customWidth="1"/>
    <col min="13" max="13" width="3.81640625" customWidth="1"/>
    <col min="14" max="14" width="7" customWidth="1"/>
  </cols>
  <sheetData>
    <row r="1" spans="1:12" s="1" customFormat="1" ht="57" customHeight="1" thickBot="1">
      <c r="A1" s="367" t="s">
        <v>0</v>
      </c>
      <c r="B1" s="368"/>
      <c r="C1" s="368"/>
      <c r="D1" s="368"/>
      <c r="E1" s="368"/>
      <c r="F1" s="368"/>
      <c r="G1" s="368"/>
      <c r="H1" s="368"/>
      <c r="I1" s="368"/>
      <c r="J1" s="368"/>
      <c r="K1" s="368"/>
      <c r="L1" s="369"/>
    </row>
    <row r="2" spans="1:12" ht="16.5" thickBot="1">
      <c r="A2" s="42"/>
      <c r="B2" s="42"/>
      <c r="C2" s="42"/>
      <c r="D2" s="42"/>
      <c r="E2" s="42"/>
      <c r="F2" s="42"/>
      <c r="G2" s="42"/>
      <c r="H2" s="42"/>
      <c r="I2" s="42"/>
      <c r="J2" s="42"/>
      <c r="K2" s="42"/>
      <c r="L2" s="42"/>
    </row>
    <row r="3" spans="1:12" s="41" customFormat="1" ht="74.25" customHeight="1" thickBot="1">
      <c r="A3" s="370" t="s">
        <v>169</v>
      </c>
      <c r="B3" s="371"/>
      <c r="C3" s="375" t="s">
        <v>1</v>
      </c>
      <c r="D3" s="376"/>
      <c r="E3" s="43"/>
      <c r="F3" s="370" t="s">
        <v>2</v>
      </c>
      <c r="G3" s="388"/>
      <c r="H3" s="379" t="s">
        <v>3</v>
      </c>
      <c r="I3" s="380"/>
      <c r="J3" s="44" t="s">
        <v>4</v>
      </c>
      <c r="K3" s="116">
        <v>45663</v>
      </c>
      <c r="L3" s="45" t="s">
        <v>5</v>
      </c>
    </row>
    <row r="4" spans="1:12" ht="16.5" thickBot="1">
      <c r="A4" s="372" t="s">
        <v>6</v>
      </c>
      <c r="B4" s="373"/>
      <c r="C4" s="377" t="s">
        <v>7</v>
      </c>
      <c r="D4" s="378"/>
      <c r="E4" s="42"/>
      <c r="F4" s="372" t="s">
        <v>8</v>
      </c>
      <c r="G4" s="374"/>
      <c r="H4" s="381" t="s">
        <v>9</v>
      </c>
      <c r="I4" s="382"/>
      <c r="J4" s="46" t="s">
        <v>10</v>
      </c>
      <c r="K4" s="116">
        <v>45677</v>
      </c>
      <c r="L4" s="104">
        <v>4</v>
      </c>
    </row>
    <row r="5" spans="1:12" ht="16.5" thickBot="1">
      <c r="A5" s="42"/>
      <c r="B5" s="42"/>
      <c r="C5" s="42"/>
      <c r="D5" s="42"/>
      <c r="E5" s="42"/>
      <c r="F5" s="47"/>
      <c r="G5" s="47"/>
      <c r="H5" s="42"/>
      <c r="I5" s="42"/>
      <c r="J5" s="42"/>
      <c r="K5" s="42"/>
      <c r="L5" s="42"/>
    </row>
    <row r="6" spans="1:12" ht="19.5" customHeight="1" thickBot="1">
      <c r="A6" s="353" t="s">
        <v>11</v>
      </c>
      <c r="B6" s="354"/>
      <c r="C6" s="354"/>
      <c r="D6" s="354"/>
      <c r="E6" s="354"/>
      <c r="F6" s="354"/>
      <c r="G6" s="354"/>
      <c r="H6" s="354"/>
      <c r="I6" s="354"/>
      <c r="J6" s="354"/>
      <c r="K6" s="354"/>
      <c r="L6" s="355"/>
    </row>
    <row r="7" spans="1:12" ht="24" customHeight="1">
      <c r="A7" s="362" t="s">
        <v>12</v>
      </c>
      <c r="B7" s="363"/>
      <c r="C7" s="363"/>
      <c r="D7" s="363"/>
      <c r="E7" s="363"/>
      <c r="F7" s="363"/>
      <c r="G7" s="363"/>
      <c r="H7" s="363"/>
      <c r="I7" s="363"/>
      <c r="J7" s="363"/>
      <c r="K7" s="363"/>
      <c r="L7" s="364"/>
    </row>
    <row r="8" spans="1:12" ht="33" customHeight="1">
      <c r="A8" s="362"/>
      <c r="B8" s="363"/>
      <c r="C8" s="363"/>
      <c r="D8" s="363"/>
      <c r="E8" s="363"/>
      <c r="F8" s="363"/>
      <c r="G8" s="363"/>
      <c r="H8" s="363"/>
      <c r="I8" s="363"/>
      <c r="J8" s="363"/>
      <c r="K8" s="363"/>
      <c r="L8" s="364"/>
    </row>
    <row r="9" spans="1:12" ht="15.75" customHeight="1">
      <c r="A9" s="362"/>
      <c r="B9" s="363"/>
      <c r="C9" s="363"/>
      <c r="D9" s="363"/>
      <c r="E9" s="363"/>
      <c r="F9" s="363"/>
      <c r="G9" s="363"/>
      <c r="H9" s="363"/>
      <c r="I9" s="363"/>
      <c r="J9" s="363"/>
      <c r="K9" s="363"/>
      <c r="L9" s="364"/>
    </row>
    <row r="10" spans="1:12" ht="29.25" customHeight="1">
      <c r="A10" s="386" t="s">
        <v>13</v>
      </c>
      <c r="B10" s="387"/>
      <c r="C10" s="387"/>
      <c r="D10" s="365" t="s">
        <v>14</v>
      </c>
      <c r="E10" s="365"/>
      <c r="F10" s="365"/>
      <c r="G10" s="365"/>
      <c r="H10" s="365"/>
      <c r="I10" s="365"/>
      <c r="J10" s="365"/>
      <c r="K10" s="365"/>
      <c r="L10" s="366"/>
    </row>
    <row r="11" spans="1:12" ht="27.75" customHeight="1">
      <c r="A11" s="383" t="s">
        <v>15</v>
      </c>
      <c r="B11" s="384"/>
      <c r="C11" s="385"/>
      <c r="D11" s="389"/>
      <c r="E11" s="390"/>
      <c r="F11" s="390"/>
      <c r="G11" s="390"/>
      <c r="H11" s="390"/>
      <c r="I11" s="390"/>
      <c r="J11" s="390"/>
      <c r="K11" s="390"/>
      <c r="L11" s="391"/>
    </row>
    <row r="12" spans="1:12" ht="27.75" customHeight="1" thickBot="1">
      <c r="A12" s="383"/>
      <c r="B12" s="384"/>
      <c r="C12" s="385"/>
      <c r="D12" s="392"/>
      <c r="E12" s="393"/>
      <c r="F12" s="393"/>
      <c r="G12" s="393"/>
      <c r="H12" s="393"/>
      <c r="I12" s="393"/>
      <c r="J12" s="393"/>
      <c r="K12" s="393"/>
      <c r="L12" s="394"/>
    </row>
    <row r="13" spans="1:12" ht="22.5" customHeight="1" thickBot="1">
      <c r="A13" s="331" t="s">
        <v>16</v>
      </c>
      <c r="B13" s="332"/>
      <c r="C13" s="332"/>
      <c r="D13" s="332"/>
      <c r="E13" s="332"/>
      <c r="F13" s="333"/>
      <c r="G13" s="331" t="s">
        <v>17</v>
      </c>
      <c r="H13" s="332"/>
      <c r="I13" s="332"/>
      <c r="J13" s="332"/>
      <c r="K13" s="332"/>
      <c r="L13" s="333"/>
    </row>
    <row r="14" spans="1:12" ht="48.65" customHeight="1" thickTop="1">
      <c r="A14" s="146" t="s">
        <v>18</v>
      </c>
      <c r="B14" s="60"/>
      <c r="C14" s="400" t="s">
        <v>19</v>
      </c>
      <c r="D14" s="401"/>
      <c r="E14" s="401"/>
      <c r="F14" s="402"/>
      <c r="G14" s="427" t="s">
        <v>20</v>
      </c>
      <c r="H14" s="428"/>
      <c r="I14" s="403" t="s">
        <v>21</v>
      </c>
      <c r="J14" s="404"/>
      <c r="K14" s="407" t="s">
        <v>22</v>
      </c>
      <c r="L14" s="408"/>
    </row>
    <row r="15" spans="1:12" ht="16">
      <c r="A15" s="48" t="s">
        <v>23</v>
      </c>
      <c r="B15" s="49"/>
      <c r="C15" s="399">
        <v>0.9</v>
      </c>
      <c r="D15" s="397"/>
      <c r="E15" s="397"/>
      <c r="F15" s="398"/>
      <c r="G15" s="429"/>
      <c r="H15" s="430"/>
      <c r="I15" s="405"/>
      <c r="J15" s="406"/>
      <c r="K15" s="409" t="s">
        <v>24</v>
      </c>
      <c r="L15" s="410"/>
    </row>
    <row r="16" spans="1:12" ht="16">
      <c r="A16" s="48" t="s">
        <v>25</v>
      </c>
      <c r="B16" s="49"/>
      <c r="C16" s="395" t="s">
        <v>26</v>
      </c>
      <c r="D16" s="395"/>
      <c r="E16" s="395"/>
      <c r="F16" s="396"/>
      <c r="G16" s="429"/>
      <c r="H16" s="430"/>
      <c r="I16" s="411" t="s">
        <v>27</v>
      </c>
      <c r="J16" s="412"/>
      <c r="K16" s="415" t="s">
        <v>28</v>
      </c>
      <c r="L16" s="416"/>
    </row>
    <row r="17" spans="1:12" ht="18" customHeight="1">
      <c r="A17" s="48" t="s">
        <v>29</v>
      </c>
      <c r="B17" s="49"/>
      <c r="C17" s="397" t="s">
        <v>30</v>
      </c>
      <c r="D17" s="397"/>
      <c r="E17" s="397"/>
      <c r="F17" s="398"/>
      <c r="G17" s="429"/>
      <c r="H17" s="430"/>
      <c r="I17" s="413"/>
      <c r="J17" s="414"/>
      <c r="K17" s="415" t="s">
        <v>31</v>
      </c>
      <c r="L17" s="416"/>
    </row>
    <row r="18" spans="1:12" ht="16">
      <c r="A18" s="48" t="s">
        <v>32</v>
      </c>
      <c r="B18" s="49"/>
      <c r="C18" s="399">
        <v>1</v>
      </c>
      <c r="D18" s="397"/>
      <c r="E18" s="397"/>
      <c r="F18" s="398"/>
      <c r="G18" s="429"/>
      <c r="H18" s="430"/>
      <c r="I18" s="417" t="s">
        <v>33</v>
      </c>
      <c r="J18" s="418"/>
      <c r="K18" s="421" t="s">
        <v>34</v>
      </c>
      <c r="L18" s="422"/>
    </row>
    <row r="19" spans="1:12" ht="16">
      <c r="A19" s="50"/>
      <c r="B19" s="42"/>
      <c r="C19" s="51"/>
      <c r="D19" s="52"/>
      <c r="E19" s="52"/>
      <c r="F19" s="53"/>
      <c r="G19" s="429"/>
      <c r="H19" s="430"/>
      <c r="I19" s="417"/>
      <c r="J19" s="418"/>
      <c r="K19" s="423" t="s">
        <v>35</v>
      </c>
      <c r="L19" s="424"/>
    </row>
    <row r="20" spans="1:12" ht="16.5" thickBot="1">
      <c r="A20" s="50"/>
      <c r="B20" s="42"/>
      <c r="C20" s="51"/>
      <c r="D20" s="52"/>
      <c r="E20" s="52"/>
      <c r="F20" s="53"/>
      <c r="G20" s="431"/>
      <c r="H20" s="432"/>
      <c r="I20" s="419"/>
      <c r="J20" s="420"/>
      <c r="K20" s="425" t="s">
        <v>36</v>
      </c>
      <c r="L20" s="426"/>
    </row>
    <row r="21" spans="1:12" ht="20.25" customHeight="1" thickBot="1">
      <c r="A21" s="331" t="s">
        <v>37</v>
      </c>
      <c r="B21" s="332"/>
      <c r="C21" s="332"/>
      <c r="D21" s="332"/>
      <c r="E21" s="332"/>
      <c r="F21" s="333"/>
      <c r="G21" s="331" t="s">
        <v>38</v>
      </c>
      <c r="H21" s="332"/>
      <c r="I21" s="332"/>
      <c r="J21" s="332"/>
      <c r="K21" s="332"/>
      <c r="L21" s="333"/>
    </row>
    <row r="22" spans="1:12" ht="49.5" customHeight="1">
      <c r="A22" s="145" t="s">
        <v>39</v>
      </c>
      <c r="B22" s="105"/>
      <c r="C22" s="105"/>
      <c r="D22" s="105"/>
      <c r="E22" s="105"/>
      <c r="F22" s="106"/>
      <c r="G22" s="343" t="s">
        <v>222</v>
      </c>
      <c r="H22" s="344"/>
      <c r="I22" s="344"/>
      <c r="J22" s="344"/>
      <c r="K22" s="344"/>
      <c r="L22" s="345"/>
    </row>
    <row r="23" spans="1:12" ht="21" customHeight="1">
      <c r="A23" s="334" t="s">
        <v>40</v>
      </c>
      <c r="B23" s="335"/>
      <c r="C23" s="335"/>
      <c r="D23" s="335"/>
      <c r="E23" s="335"/>
      <c r="F23" s="336"/>
      <c r="G23" s="346"/>
      <c r="H23" s="347"/>
      <c r="I23" s="347"/>
      <c r="J23" s="347"/>
      <c r="K23" s="347"/>
      <c r="L23" s="348"/>
    </row>
    <row r="24" spans="1:12" ht="26" customHeight="1">
      <c r="A24" s="337" t="s">
        <v>41</v>
      </c>
      <c r="B24" s="338"/>
      <c r="C24" s="338"/>
      <c r="D24" s="338"/>
      <c r="E24" s="338"/>
      <c r="F24" s="339"/>
      <c r="G24" s="346"/>
      <c r="H24" s="347"/>
      <c r="I24" s="347"/>
      <c r="J24" s="347"/>
      <c r="K24" s="347"/>
      <c r="L24" s="348"/>
    </row>
    <row r="25" spans="1:12" ht="23.5" customHeight="1">
      <c r="A25" s="340" t="s">
        <v>42</v>
      </c>
      <c r="B25" s="341"/>
      <c r="C25" s="341"/>
      <c r="D25" s="341"/>
      <c r="E25" s="341"/>
      <c r="F25" s="342"/>
      <c r="G25" s="346"/>
      <c r="H25" s="347"/>
      <c r="I25" s="347"/>
      <c r="J25" s="347"/>
      <c r="K25" s="347"/>
      <c r="L25" s="348"/>
    </row>
    <row r="26" spans="1:12" ht="23" customHeight="1">
      <c r="A26" s="50" t="s">
        <v>43</v>
      </c>
      <c r="B26" s="50"/>
      <c r="C26" s="42"/>
      <c r="D26" s="358" t="s">
        <v>44</v>
      </c>
      <c r="E26" s="358"/>
      <c r="F26" s="359"/>
      <c r="G26" s="346"/>
      <c r="H26" s="347"/>
      <c r="I26" s="347"/>
      <c r="J26" s="347"/>
      <c r="K26" s="347"/>
      <c r="L26" s="348"/>
    </row>
    <row r="27" spans="1:12" ht="26" customHeight="1">
      <c r="A27" s="50" t="s">
        <v>45</v>
      </c>
      <c r="B27" s="50"/>
      <c r="C27" s="42"/>
      <c r="D27" s="358"/>
      <c r="E27" s="358"/>
      <c r="F27" s="359"/>
      <c r="G27" s="113"/>
      <c r="H27" s="113"/>
      <c r="I27" s="113"/>
      <c r="J27" s="113"/>
      <c r="K27" s="113"/>
      <c r="L27" s="114"/>
    </row>
    <row r="28" spans="1:12" ht="48" customHeight="1">
      <c r="A28" s="349" t="s">
        <v>46</v>
      </c>
      <c r="B28" s="350"/>
      <c r="C28" s="351" t="s">
        <v>47</v>
      </c>
      <c r="D28" s="351"/>
      <c r="E28" s="351"/>
      <c r="F28" s="352"/>
      <c r="G28" s="113"/>
      <c r="H28" s="113"/>
      <c r="I28" s="113"/>
      <c r="J28" s="113"/>
      <c r="K28" s="113"/>
      <c r="L28" s="114"/>
    </row>
    <row r="29" spans="1:12" s="3" customFormat="1" ht="38.25" customHeight="1">
      <c r="A29" s="54"/>
      <c r="B29" s="42"/>
      <c r="C29" s="42"/>
      <c r="D29" s="356"/>
      <c r="E29" s="356"/>
      <c r="F29" s="357"/>
      <c r="G29" s="113"/>
      <c r="H29" s="113"/>
      <c r="I29" s="113"/>
      <c r="J29" s="113"/>
      <c r="K29" s="113"/>
      <c r="L29" s="114"/>
    </row>
    <row r="30" spans="1:12" s="3" customFormat="1" ht="39" customHeight="1">
      <c r="A30" s="360" t="s">
        <v>48</v>
      </c>
      <c r="B30" s="361"/>
      <c r="C30" s="361"/>
      <c r="D30" s="351" t="s">
        <v>49</v>
      </c>
      <c r="E30" s="351"/>
      <c r="F30" s="352"/>
      <c r="G30" s="113"/>
      <c r="H30" s="113"/>
      <c r="I30" s="113"/>
      <c r="J30" s="113"/>
      <c r="K30" s="113"/>
      <c r="L30" s="114"/>
    </row>
    <row r="31" spans="1:12" ht="25.5" customHeight="1" thickBot="1">
      <c r="A31" s="55"/>
      <c r="B31" s="56"/>
      <c r="C31" s="56"/>
      <c r="D31" s="56"/>
      <c r="E31" s="56"/>
      <c r="F31" s="57"/>
      <c r="G31" s="115"/>
      <c r="H31" s="115"/>
      <c r="I31" s="115"/>
      <c r="J31" s="115"/>
      <c r="K31" s="115"/>
    </row>
    <row r="32" spans="1:12" ht="23.25" customHeight="1" thickBot="1">
      <c r="A32" s="353" t="s">
        <v>50</v>
      </c>
      <c r="B32" s="354"/>
      <c r="C32" s="354"/>
      <c r="D32" s="354"/>
      <c r="E32" s="354"/>
      <c r="F32" s="354"/>
      <c r="G32" s="354"/>
      <c r="H32" s="354"/>
      <c r="I32" s="354"/>
      <c r="J32" s="354"/>
      <c r="K32" s="354"/>
      <c r="L32" s="355"/>
    </row>
    <row r="33" spans="1:12">
      <c r="A33" s="107"/>
      <c r="L33" s="2"/>
    </row>
    <row r="34" spans="1:12">
      <c r="A34" s="107"/>
      <c r="L34" s="2"/>
    </row>
    <row r="35" spans="1:12">
      <c r="A35" s="107"/>
      <c r="L35" s="2"/>
    </row>
    <row r="36" spans="1:12" ht="21" customHeight="1">
      <c r="A36" s="107"/>
      <c r="L36" s="2"/>
    </row>
    <row r="37" spans="1:12" ht="24" customHeight="1">
      <c r="A37" s="107"/>
      <c r="L37" s="2"/>
    </row>
    <row r="38" spans="1:12">
      <c r="A38" s="107"/>
      <c r="L38" s="2"/>
    </row>
    <row r="39" spans="1:12" ht="28.5" customHeight="1">
      <c r="A39" s="107"/>
      <c r="L39" s="2"/>
    </row>
    <row r="40" spans="1:12" ht="30" customHeight="1">
      <c r="A40" s="107"/>
      <c r="L40" s="2"/>
    </row>
    <row r="41" spans="1:12" ht="27" customHeight="1">
      <c r="A41" s="107"/>
      <c r="L41" s="2"/>
    </row>
    <row r="42" spans="1:12" ht="15" customHeight="1">
      <c r="A42" s="107"/>
      <c r="L42" s="2"/>
    </row>
    <row r="43" spans="1:12" ht="39.75" customHeight="1">
      <c r="A43" s="107"/>
      <c r="L43" s="2"/>
    </row>
    <row r="44" spans="1:12" ht="21.75" customHeight="1">
      <c r="A44" s="107"/>
      <c r="L44" s="2"/>
    </row>
    <row r="45" spans="1:12">
      <c r="A45" s="107"/>
      <c r="L45" s="2"/>
    </row>
    <row r="46" spans="1:12" ht="21" customHeight="1">
      <c r="A46" s="107"/>
      <c r="L46" s="2"/>
    </row>
    <row r="47" spans="1:12" ht="24" customHeight="1">
      <c r="A47" s="107"/>
      <c r="L47" s="2"/>
    </row>
    <row r="48" spans="1:12" ht="13" thickBot="1">
      <c r="A48" s="108"/>
      <c r="B48" s="109"/>
      <c r="C48" s="109"/>
      <c r="D48" s="109"/>
      <c r="E48" s="109"/>
      <c r="F48" s="109"/>
      <c r="G48" s="109"/>
      <c r="H48" s="109"/>
      <c r="I48" s="109"/>
      <c r="J48" s="109"/>
      <c r="K48" s="109"/>
      <c r="L48" s="110"/>
    </row>
    <row r="49" spans="1:12">
      <c r="A49" s="58"/>
      <c r="B49" s="58"/>
      <c r="C49" s="58"/>
      <c r="D49" s="58"/>
      <c r="E49" s="58"/>
      <c r="F49" s="58"/>
      <c r="G49" s="58"/>
      <c r="H49" s="58"/>
      <c r="I49" s="58"/>
      <c r="J49" s="58"/>
      <c r="K49" s="58"/>
      <c r="L49" s="58"/>
    </row>
  </sheetData>
  <mergeCells count="47">
    <mergeCell ref="C18:F18"/>
    <mergeCell ref="I14:J15"/>
    <mergeCell ref="K14:L14"/>
    <mergeCell ref="K15:L15"/>
    <mergeCell ref="I16:J17"/>
    <mergeCell ref="K16:L16"/>
    <mergeCell ref="K17:L17"/>
    <mergeCell ref="I18:J20"/>
    <mergeCell ref="K18:L18"/>
    <mergeCell ref="K19:L19"/>
    <mergeCell ref="K20:L20"/>
    <mergeCell ref="G14:H20"/>
    <mergeCell ref="D11:L12"/>
    <mergeCell ref="C16:F16"/>
    <mergeCell ref="C17:F17"/>
    <mergeCell ref="C15:F15"/>
    <mergeCell ref="C14:F14"/>
    <mergeCell ref="A7:L9"/>
    <mergeCell ref="D10:L10"/>
    <mergeCell ref="A1:L1"/>
    <mergeCell ref="A6:L6"/>
    <mergeCell ref="A13:F13"/>
    <mergeCell ref="G13:L13"/>
    <mergeCell ref="A3:B3"/>
    <mergeCell ref="A4:B4"/>
    <mergeCell ref="F4:G4"/>
    <mergeCell ref="C3:D3"/>
    <mergeCell ref="C4:D4"/>
    <mergeCell ref="H3:I3"/>
    <mergeCell ref="H4:I4"/>
    <mergeCell ref="A11:C12"/>
    <mergeCell ref="A10:C10"/>
    <mergeCell ref="F3:G3"/>
    <mergeCell ref="A28:B28"/>
    <mergeCell ref="C28:F28"/>
    <mergeCell ref="A32:L32"/>
    <mergeCell ref="D29:F29"/>
    <mergeCell ref="D26:F26"/>
    <mergeCell ref="D27:F27"/>
    <mergeCell ref="A30:C30"/>
    <mergeCell ref="D30:F30"/>
    <mergeCell ref="A21:F21"/>
    <mergeCell ref="G21:L21"/>
    <mergeCell ref="A23:F23"/>
    <mergeCell ref="A24:F24"/>
    <mergeCell ref="A25:F25"/>
    <mergeCell ref="G22:L26"/>
  </mergeCells>
  <pageMargins left="0.7" right="0.7" top="0.75" bottom="0.75" header="0.3" footer="0.3"/>
  <pageSetup scale="43" orientation="landscape" r:id="rId1"/>
  <headerFooter>
    <oddFooter>&amp;L&amp;"Arial,Negrita"SPC02-F03 v01</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U59"/>
  <sheetViews>
    <sheetView showGridLines="0" topLeftCell="A4" zoomScale="87" zoomScaleNormal="80" zoomScaleSheetLayoutView="70" workbookViewId="0">
      <selection activeCell="N7" sqref="N7:O7"/>
    </sheetView>
  </sheetViews>
  <sheetFormatPr baseColWidth="10" defaultColWidth="11.453125" defaultRowHeight="12.5"/>
  <cols>
    <col min="1" max="1" width="1.453125" customWidth="1"/>
    <col min="2" max="2" width="16.81640625" customWidth="1"/>
    <col min="8" max="8" width="13.26953125" customWidth="1"/>
    <col min="9" max="9" width="12.81640625" customWidth="1"/>
    <col min="12" max="12" width="10.26953125" customWidth="1"/>
    <col min="13" max="13" width="10.7265625" customWidth="1"/>
    <col min="14" max="14" width="12.453125" customWidth="1"/>
    <col min="15" max="15" width="21.81640625" customWidth="1"/>
    <col min="16" max="16" width="1.26953125" customWidth="1"/>
  </cols>
  <sheetData>
    <row r="1" spans="1:21" ht="55.5" customHeight="1" thickBot="1">
      <c r="A1" s="476" t="s">
        <v>0</v>
      </c>
      <c r="B1" s="477"/>
      <c r="C1" s="477"/>
      <c r="D1" s="477"/>
      <c r="E1" s="477"/>
      <c r="F1" s="477"/>
      <c r="G1" s="477"/>
      <c r="H1" s="477"/>
      <c r="I1" s="477"/>
      <c r="J1" s="477"/>
      <c r="K1" s="477"/>
      <c r="L1" s="477"/>
      <c r="M1" s="477"/>
      <c r="N1" s="477"/>
      <c r="O1" s="477"/>
      <c r="P1" s="478"/>
      <c r="Q1" s="5"/>
      <c r="R1" s="6"/>
      <c r="S1" s="6"/>
      <c r="T1" s="6"/>
      <c r="U1" s="6"/>
    </row>
    <row r="2" spans="1:21" ht="7.5" customHeight="1" thickBot="1">
      <c r="A2" s="61"/>
      <c r="B2" s="62"/>
      <c r="C2" s="63"/>
      <c r="D2" s="42"/>
      <c r="E2" s="42"/>
      <c r="F2" s="42"/>
      <c r="G2" s="42"/>
      <c r="H2" s="42"/>
      <c r="I2" s="42"/>
      <c r="J2" s="42"/>
      <c r="K2" s="64"/>
      <c r="L2" s="65"/>
      <c r="M2" s="66"/>
      <c r="N2" s="67"/>
      <c r="O2" s="65"/>
      <c r="P2" s="68"/>
      <c r="Q2" s="11"/>
      <c r="R2" s="8"/>
      <c r="S2" s="8"/>
      <c r="T2" s="9"/>
      <c r="U2" s="10"/>
    </row>
    <row r="3" spans="1:21" ht="41.25" customHeight="1">
      <c r="A3" s="61"/>
      <c r="B3" s="479" t="s">
        <v>51</v>
      </c>
      <c r="C3" s="480"/>
      <c r="D3" s="480"/>
      <c r="E3" s="484" t="s">
        <v>52</v>
      </c>
      <c r="F3" s="484"/>
      <c r="G3" s="484"/>
      <c r="H3" s="484"/>
      <c r="I3" s="484"/>
      <c r="J3" s="484"/>
      <c r="K3" s="484"/>
      <c r="L3" s="484"/>
      <c r="M3" s="484"/>
      <c r="N3" s="484"/>
      <c r="O3" s="485"/>
      <c r="P3" s="68"/>
      <c r="Q3" s="11"/>
      <c r="R3" s="8"/>
      <c r="S3" s="8"/>
      <c r="T3" s="9"/>
      <c r="U3" s="10"/>
    </row>
    <row r="4" spans="1:21" ht="57" customHeight="1">
      <c r="A4" s="61"/>
      <c r="B4" s="481" t="s">
        <v>53</v>
      </c>
      <c r="C4" s="482"/>
      <c r="D4" s="482"/>
      <c r="E4" s="486"/>
      <c r="F4" s="486"/>
      <c r="G4" s="486"/>
      <c r="H4" s="486"/>
      <c r="I4" s="486"/>
      <c r="J4" s="486"/>
      <c r="K4" s="486"/>
      <c r="L4" s="486"/>
      <c r="M4" s="486"/>
      <c r="N4" s="486"/>
      <c r="O4" s="487"/>
      <c r="P4" s="68"/>
      <c r="Q4" s="11"/>
      <c r="R4" s="8"/>
      <c r="S4" s="8"/>
      <c r="T4" s="9"/>
      <c r="U4" s="10"/>
    </row>
    <row r="5" spans="1:21" ht="27" customHeight="1">
      <c r="A5" s="61"/>
      <c r="B5" s="481" t="s">
        <v>54</v>
      </c>
      <c r="C5" s="482"/>
      <c r="D5" s="482"/>
      <c r="E5" s="488" t="s">
        <v>55</v>
      </c>
      <c r="F5" s="488"/>
      <c r="G5" s="488"/>
      <c r="H5" s="488"/>
      <c r="I5" s="488"/>
      <c r="J5" s="488"/>
      <c r="K5" s="488"/>
      <c r="L5" s="488"/>
      <c r="M5" s="488"/>
      <c r="N5" s="488"/>
      <c r="O5" s="489"/>
      <c r="P5" s="68"/>
      <c r="Q5" s="11"/>
      <c r="R5" s="8"/>
      <c r="S5" s="8"/>
      <c r="T5" s="9"/>
      <c r="U5" s="10"/>
    </row>
    <row r="6" spans="1:21" ht="22.5" customHeight="1">
      <c r="A6" s="61"/>
      <c r="B6" s="481" t="s">
        <v>56</v>
      </c>
      <c r="C6" s="482"/>
      <c r="D6" s="482"/>
      <c r="E6" s="488" t="s">
        <v>57</v>
      </c>
      <c r="F6" s="488"/>
      <c r="G6" s="488"/>
      <c r="H6" s="488"/>
      <c r="I6" s="488"/>
      <c r="J6" s="488"/>
      <c r="K6" s="488"/>
      <c r="L6" s="488"/>
      <c r="M6" s="488"/>
      <c r="N6" s="488"/>
      <c r="O6" s="489"/>
      <c r="P6" s="68"/>
      <c r="Q6" s="11"/>
      <c r="R6" s="8"/>
      <c r="S6" s="8"/>
      <c r="T6" s="9"/>
      <c r="U6" s="10"/>
    </row>
    <row r="7" spans="1:21" ht="44.25" customHeight="1">
      <c r="A7" s="61"/>
      <c r="B7" s="483" t="s">
        <v>58</v>
      </c>
      <c r="C7" s="474"/>
      <c r="D7" s="474"/>
      <c r="E7" s="471" t="s">
        <v>44</v>
      </c>
      <c r="F7" s="471"/>
      <c r="G7" s="471"/>
      <c r="H7" s="474" t="s">
        <v>59</v>
      </c>
      <c r="I7" s="474"/>
      <c r="J7" s="471" t="s">
        <v>60</v>
      </c>
      <c r="K7" s="471"/>
      <c r="L7" s="474" t="s">
        <v>61</v>
      </c>
      <c r="M7" s="474"/>
      <c r="N7" s="472" t="s">
        <v>98</v>
      </c>
      <c r="O7" s="473"/>
      <c r="P7" s="68"/>
      <c r="Q7" s="11"/>
      <c r="R7" s="8"/>
      <c r="S7" s="8"/>
      <c r="T7" s="9"/>
      <c r="U7" s="10"/>
    </row>
    <row r="8" spans="1:21" ht="16.5" thickBot="1">
      <c r="A8" s="69"/>
      <c r="B8" s="70"/>
      <c r="C8" s="70"/>
      <c r="D8" s="70"/>
      <c r="E8" s="70"/>
      <c r="F8" s="70"/>
      <c r="G8" s="71"/>
      <c r="H8" s="70"/>
      <c r="I8" s="70"/>
      <c r="J8" s="72"/>
      <c r="K8" s="72"/>
      <c r="L8" s="73"/>
      <c r="M8" s="66"/>
      <c r="N8" s="67"/>
      <c r="O8" s="74"/>
      <c r="P8" s="75"/>
      <c r="Q8" s="13"/>
      <c r="R8" s="12"/>
      <c r="S8" s="12"/>
      <c r="T8" s="9"/>
      <c r="U8" s="10"/>
    </row>
    <row r="9" spans="1:21" ht="20.25" customHeight="1" thickBot="1">
      <c r="A9" s="69"/>
      <c r="B9" s="441" t="s">
        <v>63</v>
      </c>
      <c r="C9" s="442"/>
      <c r="D9" s="442"/>
      <c r="E9" s="442"/>
      <c r="F9" s="442"/>
      <c r="G9" s="442"/>
      <c r="H9" s="442"/>
      <c r="I9" s="442"/>
      <c r="J9" s="442"/>
      <c r="K9" s="442"/>
      <c r="L9" s="442"/>
      <c r="M9" s="442"/>
      <c r="N9" s="442"/>
      <c r="O9" s="443"/>
      <c r="P9" s="75"/>
      <c r="Q9" s="13"/>
      <c r="R9" s="12"/>
      <c r="S9" s="12"/>
      <c r="T9" s="9"/>
      <c r="U9" s="10"/>
    </row>
    <row r="10" spans="1:21" ht="6.75" customHeight="1" thickBot="1">
      <c r="A10" s="32"/>
      <c r="B10" s="17"/>
      <c r="C10" s="17"/>
      <c r="D10" s="17"/>
      <c r="E10" s="33"/>
      <c r="F10" s="17"/>
      <c r="G10" s="17"/>
      <c r="H10" s="17"/>
      <c r="I10" s="17"/>
      <c r="J10" s="14"/>
      <c r="K10" s="14"/>
      <c r="L10" s="15"/>
      <c r="M10" s="15"/>
      <c r="N10" s="15"/>
      <c r="O10" s="16"/>
      <c r="P10" s="34"/>
      <c r="Q10" s="15"/>
      <c r="R10" s="16"/>
      <c r="S10" s="16"/>
      <c r="T10" s="16"/>
      <c r="U10" s="16"/>
    </row>
    <row r="11" spans="1:21" ht="25" customHeight="1">
      <c r="A11" s="32"/>
      <c r="B11" s="96" t="s">
        <v>64</v>
      </c>
      <c r="C11" s="97" t="s">
        <v>65</v>
      </c>
      <c r="D11" s="97" t="s">
        <v>66</v>
      </c>
      <c r="E11" s="97" t="s">
        <v>67</v>
      </c>
      <c r="F11" s="97" t="s">
        <v>68</v>
      </c>
      <c r="G11" s="97" t="s">
        <v>69</v>
      </c>
      <c r="H11" s="97" t="s">
        <v>70</v>
      </c>
      <c r="I11" s="97" t="s">
        <v>71</v>
      </c>
      <c r="J11" s="97" t="s">
        <v>72</v>
      </c>
      <c r="K11" s="97" t="s">
        <v>73</v>
      </c>
      <c r="L11" s="97" t="s">
        <v>74</v>
      </c>
      <c r="M11" s="97" t="s">
        <v>75</v>
      </c>
      <c r="N11" s="97" t="s">
        <v>76</v>
      </c>
      <c r="O11" s="98" t="s">
        <v>77</v>
      </c>
      <c r="P11" s="34"/>
      <c r="Q11" s="15"/>
      <c r="R11" s="16"/>
      <c r="S11" s="16"/>
      <c r="T11" s="16"/>
      <c r="U11" s="16"/>
    </row>
    <row r="12" spans="1:21" ht="25" customHeight="1">
      <c r="A12" s="32"/>
      <c r="B12" s="99" t="s">
        <v>78</v>
      </c>
      <c r="C12" s="122">
        <v>96</v>
      </c>
      <c r="D12" s="122">
        <v>100</v>
      </c>
      <c r="E12" s="122">
        <v>100</v>
      </c>
      <c r="F12" s="140">
        <v>100</v>
      </c>
      <c r="G12" s="140">
        <v>88</v>
      </c>
      <c r="H12" s="122">
        <v>91</v>
      </c>
      <c r="I12" s="122">
        <v>89</v>
      </c>
      <c r="J12" s="122">
        <v>95</v>
      </c>
      <c r="K12" s="122">
        <v>96</v>
      </c>
      <c r="L12" s="122">
        <v>100</v>
      </c>
      <c r="M12" s="122">
        <v>100</v>
      </c>
      <c r="N12" s="122"/>
      <c r="O12" s="437">
        <f>AVERAGE(C12:N12)</f>
        <v>95.909090909090907</v>
      </c>
      <c r="P12" s="34"/>
      <c r="Q12" s="15"/>
      <c r="R12" s="16"/>
      <c r="S12" s="16"/>
      <c r="T12" s="16"/>
      <c r="U12" s="16"/>
    </row>
    <row r="13" spans="1:21" ht="25" customHeight="1">
      <c r="A13" s="32"/>
      <c r="B13" s="112" t="s">
        <v>79</v>
      </c>
      <c r="C13" s="120">
        <v>95</v>
      </c>
      <c r="D13" s="120">
        <v>95</v>
      </c>
      <c r="E13" s="120">
        <v>95</v>
      </c>
      <c r="F13" s="120">
        <v>95</v>
      </c>
      <c r="G13" s="120">
        <v>95</v>
      </c>
      <c r="H13" s="120">
        <v>95</v>
      </c>
      <c r="I13" s="120">
        <v>95</v>
      </c>
      <c r="J13" s="120">
        <v>95</v>
      </c>
      <c r="K13" s="120">
        <v>95</v>
      </c>
      <c r="L13" s="120">
        <v>95</v>
      </c>
      <c r="M13" s="120">
        <v>95</v>
      </c>
      <c r="N13" s="120">
        <v>95</v>
      </c>
      <c r="O13" s="438"/>
      <c r="P13" s="34"/>
      <c r="Q13" s="15"/>
      <c r="R13" s="16"/>
      <c r="S13" s="16"/>
      <c r="T13" s="16"/>
      <c r="U13" s="16"/>
    </row>
    <row r="14" spans="1:21" ht="25" customHeight="1">
      <c r="A14" s="32"/>
      <c r="B14" s="100" t="s">
        <v>80</v>
      </c>
      <c r="C14" s="144">
        <v>94.9</v>
      </c>
      <c r="D14" s="144">
        <v>94.9</v>
      </c>
      <c r="E14" s="144">
        <v>94.9</v>
      </c>
      <c r="F14" s="144">
        <v>94.9</v>
      </c>
      <c r="G14" s="144">
        <v>94.9</v>
      </c>
      <c r="H14" s="144">
        <v>94.9</v>
      </c>
      <c r="I14" s="144">
        <v>94.9</v>
      </c>
      <c r="J14" s="144">
        <v>94.9</v>
      </c>
      <c r="K14" s="144">
        <v>94.9</v>
      </c>
      <c r="L14" s="144">
        <v>94.9</v>
      </c>
      <c r="M14" s="144">
        <v>94.9</v>
      </c>
      <c r="N14" s="144">
        <v>94.9</v>
      </c>
      <c r="O14" s="438"/>
      <c r="P14" s="34"/>
      <c r="Q14" s="15"/>
      <c r="R14" s="16"/>
      <c r="S14" s="16"/>
      <c r="T14" s="16"/>
      <c r="U14" s="16"/>
    </row>
    <row r="15" spans="1:21" ht="25" customHeight="1" thickBot="1">
      <c r="A15" s="32"/>
      <c r="B15" s="101" t="s">
        <v>81</v>
      </c>
      <c r="C15" s="121">
        <v>85</v>
      </c>
      <c r="D15" s="121">
        <v>85</v>
      </c>
      <c r="E15" s="121">
        <v>85</v>
      </c>
      <c r="F15" s="121">
        <v>85</v>
      </c>
      <c r="G15" s="121">
        <v>85</v>
      </c>
      <c r="H15" s="121">
        <v>85</v>
      </c>
      <c r="I15" s="121">
        <v>85</v>
      </c>
      <c r="J15" s="121">
        <v>85</v>
      </c>
      <c r="K15" s="121">
        <v>85</v>
      </c>
      <c r="L15" s="121">
        <v>85</v>
      </c>
      <c r="M15" s="121">
        <v>85</v>
      </c>
      <c r="N15" s="121">
        <v>85</v>
      </c>
      <c r="O15" s="439"/>
      <c r="P15" s="34"/>
      <c r="Q15" s="15"/>
      <c r="R15" s="16"/>
      <c r="S15" s="16"/>
      <c r="T15" s="16"/>
      <c r="U15" s="16"/>
    </row>
    <row r="16" spans="1:21" ht="25" customHeight="1">
      <c r="A16" s="32"/>
      <c r="B16" s="17"/>
      <c r="C16" s="17"/>
      <c r="D16" s="17"/>
      <c r="E16" s="33"/>
      <c r="F16" s="17"/>
      <c r="G16" s="17"/>
      <c r="H16" s="17"/>
      <c r="I16" s="17"/>
      <c r="J16" s="14"/>
      <c r="K16" s="14"/>
      <c r="L16" s="15"/>
      <c r="M16" s="15"/>
      <c r="N16" s="15"/>
      <c r="O16" s="16"/>
      <c r="P16" s="34"/>
      <c r="Q16" s="15"/>
      <c r="R16" s="16"/>
      <c r="S16" s="16"/>
      <c r="T16" s="16"/>
      <c r="U16" s="16"/>
    </row>
    <row r="17" spans="1:18" ht="16.5" customHeight="1">
      <c r="A17" s="32"/>
      <c r="B17" s="18"/>
      <c r="C17" s="17"/>
      <c r="D17" s="35"/>
      <c r="E17" s="19"/>
      <c r="F17" s="19"/>
      <c r="G17" s="19"/>
      <c r="H17" s="19"/>
      <c r="I17" s="17"/>
      <c r="J17" s="14"/>
      <c r="K17" s="15"/>
      <c r="L17" s="15"/>
      <c r="M17" s="440"/>
      <c r="N17" s="440"/>
      <c r="O17" s="16"/>
      <c r="P17" s="2"/>
    </row>
    <row r="18" spans="1:18" ht="15.5">
      <c r="A18" s="32"/>
      <c r="B18" s="17"/>
      <c r="C18" s="17"/>
      <c r="D18" s="17"/>
      <c r="E18" s="33"/>
      <c r="F18" s="17"/>
      <c r="G18" s="17"/>
      <c r="H18" s="17"/>
      <c r="I18" s="17"/>
      <c r="J18" s="14"/>
      <c r="K18" s="14"/>
      <c r="L18" s="14"/>
      <c r="M18" s="440"/>
      <c r="N18" s="440"/>
      <c r="O18" s="17"/>
      <c r="P18" s="2"/>
    </row>
    <row r="19" spans="1:18" ht="15.5">
      <c r="A19" s="32"/>
      <c r="B19" s="20"/>
      <c r="C19" s="20"/>
      <c r="D19" s="20"/>
      <c r="E19" s="21"/>
      <c r="F19" s="22"/>
      <c r="G19" s="22"/>
      <c r="H19" s="22"/>
      <c r="I19" s="22"/>
      <c r="K19" s="4"/>
      <c r="L19" s="4"/>
      <c r="M19" s="29"/>
      <c r="N19" s="29"/>
      <c r="O19" s="17"/>
      <c r="P19" s="2"/>
    </row>
    <row r="20" spans="1:18" ht="15.5">
      <c r="A20" s="32"/>
      <c r="B20" s="37"/>
      <c r="C20" s="37"/>
      <c r="D20" s="37"/>
      <c r="E20" s="37"/>
      <c r="F20" s="23"/>
      <c r="G20" s="24"/>
      <c r="H20" s="22"/>
      <c r="I20" s="22"/>
      <c r="K20" s="4"/>
      <c r="L20" s="4"/>
      <c r="M20" s="29"/>
      <c r="N20" s="29"/>
      <c r="O20" s="17"/>
      <c r="P20" s="2"/>
    </row>
    <row r="21" spans="1:18" ht="15.5">
      <c r="A21" s="32"/>
      <c r="B21" s="23"/>
      <c r="C21" s="23"/>
      <c r="D21" s="23"/>
      <c r="E21" s="23"/>
      <c r="F21" s="23"/>
      <c r="G21" s="24"/>
      <c r="H21" s="22"/>
      <c r="I21" s="22"/>
      <c r="K21" s="4"/>
      <c r="L21" s="4"/>
      <c r="M21" s="29"/>
      <c r="N21" s="29"/>
      <c r="O21" s="17"/>
      <c r="P21" s="2"/>
      <c r="R21" s="111"/>
    </row>
    <row r="22" spans="1:18" ht="15.5">
      <c r="A22" s="32"/>
      <c r="B22" s="23"/>
      <c r="C22" s="23"/>
      <c r="D22" s="23"/>
      <c r="E22" s="23"/>
      <c r="F22" s="23"/>
      <c r="G22" s="24"/>
      <c r="H22" s="22"/>
      <c r="I22" s="22"/>
      <c r="K22" s="4"/>
      <c r="L22" s="4"/>
      <c r="M22" s="29"/>
      <c r="N22" s="29"/>
      <c r="O22" s="17"/>
      <c r="P22" s="2"/>
    </row>
    <row r="23" spans="1:18" ht="15.5">
      <c r="A23" s="32"/>
      <c r="B23" s="23"/>
      <c r="C23" s="23"/>
      <c r="D23" s="23"/>
      <c r="E23" s="23"/>
      <c r="F23" s="23"/>
      <c r="G23" s="24"/>
      <c r="H23" s="22"/>
      <c r="I23" s="22"/>
      <c r="K23" s="4"/>
      <c r="L23" s="4"/>
      <c r="M23" s="29"/>
      <c r="N23" s="29"/>
      <c r="O23" s="17"/>
      <c r="P23" s="2"/>
    </row>
    <row r="24" spans="1:18" ht="15.5">
      <c r="A24" s="32"/>
      <c r="B24" s="23"/>
      <c r="C24" s="23"/>
      <c r="D24" s="23"/>
      <c r="E24" s="23"/>
      <c r="F24" s="23"/>
      <c r="G24" s="24"/>
      <c r="H24" s="22"/>
      <c r="I24" s="22"/>
      <c r="K24" s="4"/>
      <c r="L24" s="4"/>
      <c r="M24" s="29"/>
      <c r="N24" s="29"/>
      <c r="O24" s="17"/>
      <c r="P24" s="2"/>
    </row>
    <row r="25" spans="1:18" ht="15.5">
      <c r="A25" s="32"/>
      <c r="B25" s="23"/>
      <c r="C25" s="23"/>
      <c r="D25" s="23"/>
      <c r="E25" s="23"/>
      <c r="F25" s="23"/>
      <c r="G25" s="24"/>
      <c r="H25" s="22"/>
      <c r="I25" s="22"/>
      <c r="K25" s="4"/>
      <c r="L25" s="4"/>
      <c r="M25" s="29"/>
      <c r="N25" s="29"/>
      <c r="O25" s="17"/>
      <c r="P25" s="2"/>
    </row>
    <row r="26" spans="1:18" ht="15.5">
      <c r="A26" s="32"/>
      <c r="B26" s="23"/>
      <c r="C26" s="23"/>
      <c r="D26" s="23"/>
      <c r="E26" s="23"/>
      <c r="F26" s="23"/>
      <c r="G26" s="24"/>
      <c r="H26" s="22"/>
      <c r="I26" s="22"/>
      <c r="K26" s="4"/>
      <c r="L26" s="4"/>
      <c r="M26" s="29"/>
      <c r="N26" s="29"/>
      <c r="O26" s="17"/>
      <c r="P26" s="2"/>
    </row>
    <row r="27" spans="1:18" ht="15.5">
      <c r="A27" s="32"/>
      <c r="B27" s="23"/>
      <c r="C27" s="23"/>
      <c r="D27" s="23"/>
      <c r="E27" s="23"/>
      <c r="F27" s="23"/>
      <c r="G27" s="24"/>
      <c r="H27" s="22"/>
      <c r="I27" s="22"/>
      <c r="K27" s="4"/>
      <c r="L27" s="4"/>
      <c r="M27" s="29"/>
      <c r="N27" s="29"/>
      <c r="O27" s="17"/>
      <c r="P27" s="2"/>
    </row>
    <row r="28" spans="1:18" ht="15.5">
      <c r="A28" s="32"/>
      <c r="B28" s="23"/>
      <c r="C28" s="23"/>
      <c r="D28" s="23"/>
      <c r="E28" s="23"/>
      <c r="F28" s="23"/>
      <c r="G28" s="24"/>
      <c r="H28" s="22"/>
      <c r="I28" s="22"/>
      <c r="K28" s="4"/>
      <c r="L28" s="4"/>
      <c r="M28" s="29"/>
      <c r="N28" s="29"/>
      <c r="O28" s="17"/>
      <c r="P28" s="2"/>
    </row>
    <row r="29" spans="1:18" ht="15.5">
      <c r="A29" s="32"/>
      <c r="B29" s="23"/>
      <c r="C29" s="23"/>
      <c r="D29" s="23"/>
      <c r="E29" s="23"/>
      <c r="F29" s="23"/>
      <c r="G29" s="24"/>
      <c r="H29" s="22"/>
      <c r="I29" s="22"/>
      <c r="K29" s="4"/>
      <c r="L29" s="4"/>
      <c r="M29" s="29"/>
      <c r="N29" s="29"/>
      <c r="O29" s="17"/>
      <c r="P29" s="2"/>
    </row>
    <row r="30" spans="1:18" ht="15.5">
      <c r="A30" s="32"/>
      <c r="B30" s="23"/>
      <c r="C30" s="23"/>
      <c r="D30" s="23"/>
      <c r="E30" s="23"/>
      <c r="F30" s="23"/>
      <c r="G30" s="24"/>
      <c r="H30" s="22"/>
      <c r="I30" s="22"/>
      <c r="K30" s="4"/>
      <c r="L30" s="4"/>
      <c r="M30" s="29"/>
      <c r="N30" s="29"/>
      <c r="O30" s="17"/>
      <c r="P30" s="2"/>
    </row>
    <row r="31" spans="1:18" ht="15.5">
      <c r="A31" s="32"/>
      <c r="B31" s="23"/>
      <c r="C31" s="23"/>
      <c r="D31" s="23"/>
      <c r="E31" s="23"/>
      <c r="F31" s="23"/>
      <c r="G31" s="24"/>
      <c r="H31" s="22"/>
      <c r="I31" s="22"/>
      <c r="K31" s="4"/>
      <c r="L31" s="4"/>
      <c r="M31" s="29"/>
      <c r="N31" s="29"/>
      <c r="O31" s="17"/>
      <c r="P31" s="2"/>
    </row>
    <row r="32" spans="1:18" ht="15.5">
      <c r="A32" s="32"/>
      <c r="B32" s="23"/>
      <c r="C32" s="23"/>
      <c r="D32" s="23"/>
      <c r="E32" s="23"/>
      <c r="F32" s="23"/>
      <c r="G32" s="24"/>
      <c r="H32" s="22"/>
      <c r="I32" s="22"/>
      <c r="K32" s="4"/>
      <c r="L32" s="4"/>
      <c r="M32" s="29"/>
      <c r="N32" s="29"/>
      <c r="O32" s="17"/>
      <c r="P32" s="2"/>
    </row>
    <row r="33" spans="1:21" ht="15.5">
      <c r="A33" s="32"/>
      <c r="B33" s="23"/>
      <c r="C33" s="23"/>
      <c r="D33" s="23"/>
      <c r="E33" s="23"/>
      <c r="F33" s="23"/>
      <c r="G33" s="24"/>
      <c r="H33" s="22"/>
      <c r="I33" s="22"/>
      <c r="K33" s="4"/>
      <c r="L33" s="4"/>
      <c r="M33" s="29"/>
      <c r="N33" s="29"/>
      <c r="O33" s="17"/>
      <c r="P33" s="2"/>
    </row>
    <row r="34" spans="1:21" ht="15.5">
      <c r="A34" s="32"/>
      <c r="B34" s="23"/>
      <c r="C34" s="23"/>
      <c r="D34" s="23"/>
      <c r="E34" s="23"/>
      <c r="F34" s="23"/>
      <c r="G34" s="24"/>
      <c r="H34" s="22"/>
      <c r="I34" s="22"/>
      <c r="K34" s="4"/>
      <c r="L34" s="4"/>
      <c r="M34" s="29"/>
      <c r="N34" s="29"/>
      <c r="O34" s="17"/>
      <c r="P34" s="2"/>
    </row>
    <row r="35" spans="1:21" ht="8.25" customHeight="1">
      <c r="A35" s="32"/>
      <c r="B35" s="23"/>
      <c r="C35" s="23"/>
      <c r="D35" s="23"/>
      <c r="E35" s="23"/>
      <c r="F35" s="23"/>
      <c r="G35" s="24"/>
      <c r="H35" s="22"/>
      <c r="I35" s="22"/>
      <c r="K35" s="4"/>
      <c r="L35" s="4"/>
      <c r="M35" s="29"/>
      <c r="N35" s="29"/>
      <c r="O35" s="17"/>
      <c r="P35" s="2"/>
    </row>
    <row r="36" spans="1:21" ht="15.5">
      <c r="A36" s="32"/>
      <c r="B36" s="37"/>
      <c r="C36" s="37"/>
      <c r="D36" s="37"/>
      <c r="E36" s="37"/>
      <c r="F36" s="23"/>
      <c r="G36" s="25"/>
      <c r="H36" s="22"/>
      <c r="I36" s="22"/>
      <c r="K36" s="4"/>
      <c r="L36" s="4"/>
      <c r="M36" s="29"/>
      <c r="N36" s="29"/>
      <c r="O36" s="17"/>
      <c r="P36" s="2"/>
    </row>
    <row r="37" spans="1:21" ht="8.25" customHeight="1" thickBot="1">
      <c r="A37" s="32"/>
      <c r="B37" s="37"/>
      <c r="C37" s="37"/>
      <c r="D37" s="37"/>
      <c r="E37" s="37"/>
      <c r="F37" s="23"/>
      <c r="G37" s="25"/>
      <c r="H37" s="22"/>
      <c r="I37" s="22"/>
      <c r="K37" s="26"/>
      <c r="L37" s="28"/>
      <c r="M37" s="27"/>
      <c r="N37" s="27"/>
      <c r="O37" s="27"/>
      <c r="P37" s="7"/>
      <c r="Q37" s="4"/>
      <c r="R37" s="29"/>
      <c r="S37" s="29"/>
      <c r="T37" s="17"/>
    </row>
    <row r="38" spans="1:21" ht="20.25" customHeight="1" thickBot="1">
      <c r="A38" s="30"/>
      <c r="B38" s="441" t="s">
        <v>82</v>
      </c>
      <c r="C38" s="442"/>
      <c r="D38" s="442"/>
      <c r="E38" s="442"/>
      <c r="F38" s="442"/>
      <c r="G38" s="442"/>
      <c r="H38" s="442"/>
      <c r="I38" s="442"/>
      <c r="J38" s="442"/>
      <c r="K38" s="442"/>
      <c r="L38" s="442"/>
      <c r="M38" s="442"/>
      <c r="N38" s="442"/>
      <c r="O38" s="443"/>
      <c r="P38" s="31"/>
      <c r="Q38" s="13"/>
      <c r="R38" s="12"/>
      <c r="S38" s="12"/>
      <c r="T38" s="9"/>
      <c r="U38" s="10"/>
    </row>
    <row r="39" spans="1:21" ht="8.25" customHeight="1" thickBot="1">
      <c r="A39" s="38"/>
      <c r="B39" s="80"/>
      <c r="C39" s="80"/>
      <c r="D39" s="80"/>
      <c r="E39" s="80"/>
      <c r="F39" s="81"/>
      <c r="G39" s="82"/>
      <c r="H39" s="79"/>
      <c r="I39" s="79"/>
      <c r="J39" s="58"/>
      <c r="K39" s="83"/>
      <c r="L39" s="85"/>
      <c r="M39" s="84"/>
      <c r="N39" s="84"/>
      <c r="O39" s="84"/>
      <c r="P39" s="7"/>
      <c r="Q39" s="4"/>
      <c r="R39" s="29"/>
      <c r="S39" s="29"/>
      <c r="T39" s="17"/>
    </row>
    <row r="40" spans="1:21" ht="30" customHeight="1">
      <c r="A40" s="38"/>
      <c r="B40" s="102" t="s">
        <v>64</v>
      </c>
      <c r="C40" s="103" t="s">
        <v>83</v>
      </c>
      <c r="D40" s="444" t="s">
        <v>84</v>
      </c>
      <c r="E40" s="444"/>
      <c r="F40" s="444"/>
      <c r="G40" s="444"/>
      <c r="H40" s="444" t="s">
        <v>85</v>
      </c>
      <c r="I40" s="444"/>
      <c r="J40" s="444"/>
      <c r="K40" s="444"/>
      <c r="L40" s="445" t="s">
        <v>86</v>
      </c>
      <c r="M40" s="445"/>
      <c r="N40" s="446" t="s">
        <v>87</v>
      </c>
      <c r="O40" s="447"/>
      <c r="P40" s="7"/>
      <c r="Q40" s="4"/>
      <c r="R40" s="29"/>
      <c r="S40" s="29"/>
      <c r="T40" s="17"/>
    </row>
    <row r="41" spans="1:21" ht="24" customHeight="1">
      <c r="A41" s="38"/>
      <c r="B41" s="118" t="s">
        <v>62</v>
      </c>
      <c r="C41" s="139"/>
      <c r="D41" s="459"/>
      <c r="E41" s="460"/>
      <c r="F41" s="460"/>
      <c r="G41" s="460"/>
      <c r="H41" s="459"/>
      <c r="I41" s="460"/>
      <c r="J41" s="460"/>
      <c r="K41" s="460"/>
      <c r="L41" s="461"/>
      <c r="M41" s="462"/>
      <c r="N41" s="469"/>
      <c r="O41" s="464"/>
      <c r="P41" s="7"/>
      <c r="Q41" s="4"/>
      <c r="R41" s="29"/>
      <c r="S41" s="29"/>
      <c r="T41" s="17"/>
    </row>
    <row r="42" spans="1:21" ht="24" customHeight="1">
      <c r="A42" s="38"/>
      <c r="B42" s="118" t="s">
        <v>88</v>
      </c>
      <c r="C42" s="139"/>
      <c r="D42" s="457"/>
      <c r="E42" s="458"/>
      <c r="F42" s="458"/>
      <c r="G42" s="458"/>
      <c r="H42" s="457"/>
      <c r="I42" s="458"/>
      <c r="J42" s="458"/>
      <c r="K42" s="458"/>
      <c r="L42" s="461"/>
      <c r="M42" s="462"/>
      <c r="N42" s="433"/>
      <c r="O42" s="470"/>
      <c r="P42" s="7"/>
      <c r="Q42" s="4"/>
      <c r="R42" s="22"/>
      <c r="S42" s="22"/>
      <c r="T42" s="17"/>
      <c r="U42" s="23"/>
    </row>
    <row r="43" spans="1:21" ht="24" customHeight="1">
      <c r="A43" s="38"/>
      <c r="B43" s="118" t="s">
        <v>89</v>
      </c>
      <c r="C43" s="139"/>
      <c r="D43" s="459"/>
      <c r="E43" s="460"/>
      <c r="F43" s="460"/>
      <c r="G43" s="460"/>
      <c r="H43" s="459"/>
      <c r="I43" s="460"/>
      <c r="J43" s="460"/>
      <c r="K43" s="460"/>
      <c r="L43" s="461"/>
      <c r="M43" s="462"/>
      <c r="N43" s="435"/>
      <c r="O43" s="436"/>
      <c r="P43" s="7"/>
      <c r="Q43" s="4"/>
      <c r="R43" s="22"/>
      <c r="S43" s="22"/>
      <c r="T43" s="17"/>
      <c r="U43" s="23"/>
    </row>
    <row r="44" spans="1:21" ht="24" customHeight="1">
      <c r="A44" s="38"/>
      <c r="B44" s="118" t="s">
        <v>90</v>
      </c>
      <c r="C44" s="139"/>
      <c r="D44" s="459"/>
      <c r="E44" s="460"/>
      <c r="F44" s="460"/>
      <c r="G44" s="460"/>
      <c r="H44" s="457"/>
      <c r="I44" s="458"/>
      <c r="J44" s="458"/>
      <c r="K44" s="458"/>
      <c r="L44" s="461"/>
      <c r="M44" s="462"/>
      <c r="N44" s="435"/>
      <c r="O44" s="436"/>
      <c r="P44" s="7"/>
      <c r="Q44" s="4"/>
      <c r="R44" s="22"/>
      <c r="S44" s="22"/>
      <c r="T44" s="17"/>
      <c r="U44" s="23"/>
    </row>
    <row r="45" spans="1:21" ht="65" customHeight="1">
      <c r="A45" s="38"/>
      <c r="B45" s="118" t="s">
        <v>91</v>
      </c>
      <c r="C45" s="139"/>
      <c r="D45" s="459" t="s">
        <v>204</v>
      </c>
      <c r="E45" s="460"/>
      <c r="F45" s="460"/>
      <c r="G45" s="460"/>
      <c r="H45" s="457" t="s">
        <v>202</v>
      </c>
      <c r="I45" s="458"/>
      <c r="J45" s="458"/>
      <c r="K45" s="458"/>
      <c r="L45" s="461" t="s">
        <v>203</v>
      </c>
      <c r="M45" s="462"/>
      <c r="N45" s="435">
        <v>45853</v>
      </c>
      <c r="O45" s="436"/>
      <c r="P45" s="7"/>
      <c r="Q45" s="4"/>
      <c r="R45" s="22"/>
      <c r="S45" s="22"/>
      <c r="T45" s="17"/>
      <c r="U45" s="23"/>
    </row>
    <row r="46" spans="1:21" ht="42" customHeight="1">
      <c r="A46" s="38"/>
      <c r="B46" s="118" t="s">
        <v>92</v>
      </c>
      <c r="C46" s="139"/>
      <c r="D46" s="459" t="s">
        <v>210</v>
      </c>
      <c r="E46" s="460"/>
      <c r="F46" s="460"/>
      <c r="G46" s="460"/>
      <c r="H46" s="459" t="s">
        <v>207</v>
      </c>
      <c r="I46" s="460"/>
      <c r="J46" s="460"/>
      <c r="K46" s="460"/>
      <c r="L46" s="461" t="s">
        <v>208</v>
      </c>
      <c r="M46" s="462"/>
      <c r="N46" s="435" t="s">
        <v>209</v>
      </c>
      <c r="O46" s="436"/>
      <c r="P46" s="7"/>
      <c r="Q46" s="4"/>
      <c r="R46" s="22"/>
      <c r="S46" s="22"/>
      <c r="T46" s="17"/>
      <c r="U46" s="23"/>
    </row>
    <row r="47" spans="1:21" ht="72.5" customHeight="1">
      <c r="A47" s="38"/>
      <c r="B47" s="118" t="s">
        <v>93</v>
      </c>
      <c r="C47" s="139"/>
      <c r="D47" s="457" t="s">
        <v>211</v>
      </c>
      <c r="E47" s="458"/>
      <c r="F47" s="458"/>
      <c r="G47" s="458"/>
      <c r="H47" s="457" t="s">
        <v>212</v>
      </c>
      <c r="I47" s="458"/>
      <c r="J47" s="458"/>
      <c r="K47" s="458"/>
      <c r="L47" s="433" t="s">
        <v>208</v>
      </c>
      <c r="M47" s="434"/>
      <c r="N47" s="435">
        <v>45960</v>
      </c>
      <c r="O47" s="436"/>
      <c r="P47" s="7"/>
      <c r="Q47" s="4"/>
      <c r="R47" s="22"/>
      <c r="S47" s="22"/>
      <c r="T47" s="17"/>
      <c r="U47" s="23"/>
    </row>
    <row r="48" spans="1:21" ht="24" customHeight="1">
      <c r="A48" s="38"/>
      <c r="B48" s="118" t="s">
        <v>94</v>
      </c>
      <c r="C48" s="139"/>
      <c r="D48" s="457"/>
      <c r="E48" s="458"/>
      <c r="F48" s="458"/>
      <c r="G48" s="458"/>
      <c r="H48" s="457"/>
      <c r="I48" s="458"/>
      <c r="J48" s="458"/>
      <c r="K48" s="458"/>
      <c r="L48" s="433"/>
      <c r="M48" s="434"/>
      <c r="N48" s="435"/>
      <c r="O48" s="436"/>
      <c r="P48" s="7"/>
      <c r="Q48" s="4"/>
      <c r="R48" s="22"/>
      <c r="S48" s="22"/>
      <c r="T48" s="17"/>
      <c r="U48" s="23"/>
    </row>
    <row r="49" spans="1:21" ht="24" customHeight="1">
      <c r="A49" s="38"/>
      <c r="B49" s="118" t="s">
        <v>94</v>
      </c>
      <c r="C49" s="139"/>
      <c r="D49" s="457"/>
      <c r="E49" s="458"/>
      <c r="F49" s="458"/>
      <c r="G49" s="458"/>
      <c r="H49" s="457"/>
      <c r="I49" s="458"/>
      <c r="J49" s="458"/>
      <c r="K49" s="458"/>
      <c r="L49" s="433"/>
      <c r="M49" s="434"/>
      <c r="N49" s="435"/>
      <c r="O49" s="436"/>
      <c r="P49" s="7"/>
      <c r="Q49" s="4"/>
      <c r="R49" s="22"/>
      <c r="S49" s="22"/>
      <c r="T49" s="17"/>
      <c r="U49" s="23"/>
    </row>
    <row r="50" spans="1:21" ht="24" customHeight="1">
      <c r="A50" s="38"/>
      <c r="B50" s="118" t="s">
        <v>95</v>
      </c>
      <c r="C50" s="139"/>
      <c r="D50" s="459"/>
      <c r="E50" s="460"/>
      <c r="F50" s="460"/>
      <c r="G50" s="460"/>
      <c r="H50" s="459"/>
      <c r="I50" s="460"/>
      <c r="J50" s="460"/>
      <c r="K50" s="460"/>
      <c r="L50" s="461"/>
      <c r="M50" s="462"/>
      <c r="N50" s="435"/>
      <c r="O50" s="436"/>
      <c r="P50" s="7"/>
      <c r="Q50" s="4"/>
      <c r="R50" s="22"/>
      <c r="S50" s="22"/>
      <c r="T50" s="17"/>
      <c r="U50" s="23"/>
    </row>
    <row r="51" spans="1:21" ht="24" customHeight="1">
      <c r="A51" s="38"/>
      <c r="B51" s="118" t="s">
        <v>96</v>
      </c>
      <c r="C51" s="139"/>
      <c r="D51" s="459"/>
      <c r="E51" s="460"/>
      <c r="F51" s="460"/>
      <c r="G51" s="460"/>
      <c r="H51" s="459"/>
      <c r="I51" s="460"/>
      <c r="J51" s="460"/>
      <c r="K51" s="460"/>
      <c r="L51" s="461"/>
      <c r="M51" s="462"/>
      <c r="N51" s="435"/>
      <c r="O51" s="436"/>
      <c r="P51" s="7"/>
      <c r="Q51" s="4"/>
      <c r="R51" s="22"/>
      <c r="S51" s="22"/>
      <c r="T51" s="17"/>
      <c r="U51" s="23"/>
    </row>
    <row r="52" spans="1:21" ht="24" customHeight="1">
      <c r="A52" s="38"/>
      <c r="B52" s="118" t="s">
        <v>97</v>
      </c>
      <c r="C52" s="138"/>
      <c r="D52" s="460"/>
      <c r="E52" s="460"/>
      <c r="F52" s="460"/>
      <c r="G52" s="460"/>
      <c r="H52" s="460"/>
      <c r="I52" s="460"/>
      <c r="J52" s="460"/>
      <c r="K52" s="460"/>
      <c r="L52" s="462"/>
      <c r="M52" s="462"/>
      <c r="N52" s="463"/>
      <c r="O52" s="464"/>
      <c r="P52" s="7"/>
      <c r="Q52" s="4"/>
      <c r="R52" s="22"/>
      <c r="S52" s="22"/>
      <c r="T52" s="17"/>
      <c r="U52" s="23"/>
    </row>
    <row r="53" spans="1:21" ht="24" customHeight="1" thickBot="1">
      <c r="A53" s="38"/>
      <c r="B53" s="119" t="s">
        <v>98</v>
      </c>
      <c r="C53" s="141"/>
      <c r="D53" s="465"/>
      <c r="E53" s="465"/>
      <c r="F53" s="465"/>
      <c r="G53" s="465"/>
      <c r="H53" s="465"/>
      <c r="I53" s="465"/>
      <c r="J53" s="465"/>
      <c r="K53" s="465"/>
      <c r="L53" s="466"/>
      <c r="M53" s="466"/>
      <c r="N53" s="467"/>
      <c r="O53" s="468"/>
      <c r="P53" s="7"/>
      <c r="Q53" s="4"/>
      <c r="R53" s="22"/>
      <c r="S53" s="22"/>
      <c r="T53" s="17"/>
      <c r="U53" s="23"/>
    </row>
    <row r="54" spans="1:21" ht="16.5" thickBot="1">
      <c r="A54" s="32"/>
      <c r="B54" s="76"/>
      <c r="C54" s="76"/>
      <c r="D54" s="76"/>
      <c r="E54" s="77"/>
      <c r="F54" s="76"/>
      <c r="G54" s="76"/>
      <c r="H54" s="76"/>
      <c r="I54" s="76"/>
      <c r="J54" s="78"/>
      <c r="K54" s="475"/>
      <c r="L54" s="475"/>
      <c r="M54" s="475"/>
      <c r="N54" s="475"/>
      <c r="O54" s="76"/>
      <c r="P54" s="36"/>
      <c r="Q54" s="14"/>
      <c r="R54" s="17"/>
      <c r="S54" s="17"/>
      <c r="T54" s="17"/>
      <c r="U54" s="17"/>
    </row>
    <row r="55" spans="1:21" ht="61" customHeight="1">
      <c r="A55" s="32"/>
      <c r="B55" s="448" t="s">
        <v>99</v>
      </c>
      <c r="C55" s="449"/>
      <c r="D55" s="449"/>
      <c r="E55" s="449"/>
      <c r="F55" s="449"/>
      <c r="G55" s="449"/>
      <c r="H55" s="449"/>
      <c r="I55" s="449"/>
      <c r="J55" s="449"/>
      <c r="K55" s="449"/>
      <c r="L55" s="449"/>
      <c r="M55" s="449"/>
      <c r="N55" s="449"/>
      <c r="O55" s="450"/>
      <c r="P55" s="36"/>
      <c r="Q55" s="14"/>
      <c r="R55" s="17"/>
      <c r="S55" s="17"/>
      <c r="T55" s="17"/>
      <c r="U55" s="17"/>
    </row>
    <row r="56" spans="1:21" ht="25.5" customHeight="1">
      <c r="A56" s="32"/>
      <c r="B56" s="451"/>
      <c r="C56" s="452"/>
      <c r="D56" s="452"/>
      <c r="E56" s="452"/>
      <c r="F56" s="452"/>
      <c r="G56" s="452"/>
      <c r="H56" s="452"/>
      <c r="I56" s="452"/>
      <c r="J56" s="452"/>
      <c r="K56" s="452"/>
      <c r="L56" s="452"/>
      <c r="M56" s="452"/>
      <c r="N56" s="452"/>
      <c r="O56" s="453"/>
      <c r="P56" s="36"/>
      <c r="Q56" s="14"/>
      <c r="R56" s="17"/>
      <c r="S56" s="17"/>
      <c r="T56" s="17"/>
      <c r="U56" s="17"/>
    </row>
    <row r="57" spans="1:21" ht="16" thickBot="1">
      <c r="A57" s="32"/>
      <c r="B57" s="454"/>
      <c r="C57" s="455"/>
      <c r="D57" s="455"/>
      <c r="E57" s="455"/>
      <c r="F57" s="455"/>
      <c r="G57" s="455"/>
      <c r="H57" s="455"/>
      <c r="I57" s="455"/>
      <c r="J57" s="455"/>
      <c r="K57" s="455"/>
      <c r="L57" s="455"/>
      <c r="M57" s="455"/>
      <c r="N57" s="455"/>
      <c r="O57" s="456"/>
      <c r="P57" s="36"/>
      <c r="Q57" s="14"/>
      <c r="R57" s="17"/>
      <c r="S57" s="17"/>
      <c r="T57" s="17"/>
      <c r="U57" s="17"/>
    </row>
    <row r="58" spans="1:21" ht="9" customHeight="1">
      <c r="A58" s="32"/>
      <c r="B58" s="86"/>
      <c r="C58" s="58"/>
      <c r="D58" s="87"/>
      <c r="E58" s="88"/>
      <c r="F58" s="87"/>
      <c r="G58" s="87"/>
      <c r="H58" s="87"/>
      <c r="I58" s="87"/>
      <c r="J58" s="89"/>
      <c r="K58" s="90"/>
      <c r="L58" s="90"/>
      <c r="M58" s="90"/>
      <c r="N58" s="90"/>
      <c r="O58" s="76"/>
      <c r="P58" s="36"/>
      <c r="Q58" s="14"/>
      <c r="R58" s="17"/>
      <c r="S58" s="17"/>
      <c r="T58" s="17"/>
      <c r="U58" s="17"/>
    </row>
    <row r="59" spans="1:21" ht="5.25" customHeight="1" thickBot="1">
      <c r="A59" s="39"/>
      <c r="B59" s="91"/>
      <c r="C59" s="59"/>
      <c r="D59" s="92"/>
      <c r="E59" s="93"/>
      <c r="F59" s="92"/>
      <c r="G59" s="92"/>
      <c r="H59" s="92"/>
      <c r="I59" s="92"/>
      <c r="J59" s="94"/>
      <c r="K59" s="95"/>
      <c r="L59" s="95"/>
      <c r="M59" s="95"/>
      <c r="N59" s="95"/>
      <c r="O59" s="92"/>
      <c r="P59" s="40"/>
      <c r="Q59" s="14"/>
      <c r="R59" s="17"/>
      <c r="S59" s="17"/>
      <c r="T59" s="17"/>
      <c r="U59" s="17"/>
    </row>
  </sheetData>
  <mergeCells count="78">
    <mergeCell ref="K54:N54"/>
    <mergeCell ref="D41:G41"/>
    <mergeCell ref="A1:P1"/>
    <mergeCell ref="D48:G48"/>
    <mergeCell ref="H48:K48"/>
    <mergeCell ref="M17:M18"/>
    <mergeCell ref="B3:D3"/>
    <mergeCell ref="B4:D4"/>
    <mergeCell ref="B5:D5"/>
    <mergeCell ref="B6:D6"/>
    <mergeCell ref="B7:D7"/>
    <mergeCell ref="L7:M7"/>
    <mergeCell ref="E3:O3"/>
    <mergeCell ref="E4:O4"/>
    <mergeCell ref="E5:O5"/>
    <mergeCell ref="E6:O6"/>
    <mergeCell ref="E7:G7"/>
    <mergeCell ref="J7:K7"/>
    <mergeCell ref="N7:O7"/>
    <mergeCell ref="H7:I7"/>
    <mergeCell ref="B9:O9"/>
    <mergeCell ref="D53:G53"/>
    <mergeCell ref="H53:K53"/>
    <mergeCell ref="L53:M53"/>
    <mergeCell ref="N53:O53"/>
    <mergeCell ref="H41:K41"/>
    <mergeCell ref="L41:M41"/>
    <mergeCell ref="N41:O41"/>
    <mergeCell ref="D42:G42"/>
    <mergeCell ref="H42:K42"/>
    <mergeCell ref="L42:M42"/>
    <mergeCell ref="N42:O42"/>
    <mergeCell ref="D43:G43"/>
    <mergeCell ref="H43:K43"/>
    <mergeCell ref="L43:M43"/>
    <mergeCell ref="N43:O43"/>
    <mergeCell ref="D52:G52"/>
    <mergeCell ref="N52:O52"/>
    <mergeCell ref="D44:G44"/>
    <mergeCell ref="H44:K44"/>
    <mergeCell ref="L44:M44"/>
    <mergeCell ref="N44:O44"/>
    <mergeCell ref="D45:G45"/>
    <mergeCell ref="H45:K45"/>
    <mergeCell ref="L45:M45"/>
    <mergeCell ref="N45:O45"/>
    <mergeCell ref="D46:G46"/>
    <mergeCell ref="H46:K46"/>
    <mergeCell ref="L46:M46"/>
    <mergeCell ref="N46:O46"/>
    <mergeCell ref="D47:G47"/>
    <mergeCell ref="D49:G49"/>
    <mergeCell ref="H49:K49"/>
    <mergeCell ref="B55:O57"/>
    <mergeCell ref="H47:K47"/>
    <mergeCell ref="L47:M47"/>
    <mergeCell ref="N47:O47"/>
    <mergeCell ref="D51:G51"/>
    <mergeCell ref="H51:K51"/>
    <mergeCell ref="L51:M51"/>
    <mergeCell ref="N51:O51"/>
    <mergeCell ref="L48:M48"/>
    <mergeCell ref="N48:O48"/>
    <mergeCell ref="D50:G50"/>
    <mergeCell ref="H50:K50"/>
    <mergeCell ref="L50:M50"/>
    <mergeCell ref="N50:O50"/>
    <mergeCell ref="H52:K52"/>
    <mergeCell ref="L52:M52"/>
    <mergeCell ref="L49:M49"/>
    <mergeCell ref="N49:O49"/>
    <mergeCell ref="O12:O15"/>
    <mergeCell ref="N17:N18"/>
    <mergeCell ref="B38:O38"/>
    <mergeCell ref="D40:G40"/>
    <mergeCell ref="H40:K40"/>
    <mergeCell ref="L40:M40"/>
    <mergeCell ref="N40:O40"/>
  </mergeCells>
  <phoneticPr fontId="44" type="noConversion"/>
  <conditionalFormatting sqref="C2">
    <cfRule type="expression" dxfId="27" priority="11" stopIfTrue="1">
      <formula>B2=1</formula>
    </cfRule>
    <cfRule type="expression" dxfId="26" priority="12" stopIfTrue="1">
      <formula>B2=2</formula>
    </cfRule>
    <cfRule type="expression" dxfId="25" priority="13" stopIfTrue="1">
      <formula>B2=3</formula>
    </cfRule>
  </conditionalFormatting>
  <conditionalFormatting sqref="K2">
    <cfRule type="expression" dxfId="24" priority="17" stopIfTrue="1">
      <formula>J3=1</formula>
    </cfRule>
    <cfRule type="expression" dxfId="23" priority="18" stopIfTrue="1">
      <formula>J3=2</formula>
    </cfRule>
    <cfRule type="expression" dxfId="22" priority="19" stopIfTrue="1">
      <formula>J3=3</formula>
    </cfRule>
  </conditionalFormatting>
  <conditionalFormatting sqref="O12">
    <cfRule type="cellIs" dxfId="21" priority="1" operator="between">
      <formula>0</formula>
      <formula>82.9</formula>
    </cfRule>
    <cfRule type="cellIs" dxfId="20" priority="2" operator="between">
      <formula>83</formula>
      <formula>92.9</formula>
    </cfRule>
    <cfRule type="cellIs" dxfId="19" priority="3" operator="greaterThanOrEqual">
      <formula>93</formula>
    </cfRule>
  </conditionalFormatting>
  <dataValidations count="1">
    <dataValidation type="list" allowBlank="1" showInputMessage="1" showErrorMessage="1" sqref="N7:O7" xr:uid="{00000000-0002-0000-0100-000000000000}">
      <formula1>"Enero, Febrero, Marzo, Abril, Mayo, Junio, Julio, Agosto, Setiembre, Octubre, Noviembre, Diciembre"</formula1>
    </dataValidation>
  </dataValidations>
  <pageMargins left="0.7" right="0.7" top="0.75" bottom="0.75" header="0.3" footer="0.3"/>
  <pageSetup paperSize="9" scale="5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F28"/>
  <sheetViews>
    <sheetView showGridLines="0" showWhiteSpace="0" view="pageBreakPreview" topLeftCell="A16" zoomScale="60" zoomScaleNormal="70" zoomScalePageLayoutView="70" workbookViewId="0">
      <selection activeCell="Q13" sqref="Q13:Q22"/>
    </sheetView>
  </sheetViews>
  <sheetFormatPr baseColWidth="10" defaultColWidth="11.453125" defaultRowHeight="12.5"/>
  <cols>
    <col min="1" max="1" width="4" style="117" customWidth="1"/>
    <col min="2" max="2" width="17.54296875" style="117" customWidth="1"/>
    <col min="3" max="3" width="21.7265625" style="117" customWidth="1"/>
    <col min="4" max="4" width="23.81640625" style="117" customWidth="1"/>
    <col min="5" max="5" width="17.7265625" style="117" customWidth="1"/>
    <col min="6" max="17" width="5.7265625" style="117" customWidth="1"/>
    <col min="18" max="18" width="16.7265625" style="117" customWidth="1"/>
    <col min="19" max="21" width="14.81640625" style="117" customWidth="1"/>
    <col min="22" max="22" width="17.26953125" style="117" customWidth="1"/>
    <col min="23" max="23" width="17.54296875" style="117" customWidth="1"/>
    <col min="24" max="24" width="14.81640625" style="117" customWidth="1"/>
    <col min="25" max="25" width="25.81640625" style="117" customWidth="1"/>
    <col min="26" max="26" width="16" style="117" customWidth="1"/>
    <col min="27" max="27" width="10.26953125" style="117" customWidth="1"/>
    <col min="28" max="257" width="10.81640625" style="117"/>
    <col min="258" max="258" width="4" style="117" customWidth="1"/>
    <col min="259" max="259" width="17.54296875" style="117" customWidth="1"/>
    <col min="260" max="260" width="21.7265625" style="117" customWidth="1"/>
    <col min="261" max="261" width="23.81640625" style="117" customWidth="1"/>
    <col min="262" max="262" width="15.26953125" style="117" customWidth="1"/>
    <col min="263" max="274" width="5.7265625" style="117" customWidth="1"/>
    <col min="275" max="275" width="14.81640625" style="117" customWidth="1"/>
    <col min="276" max="276" width="17.26953125" style="117" customWidth="1"/>
    <col min="277" max="277" width="17.54296875" style="117" customWidth="1"/>
    <col min="278" max="278" width="14.81640625" style="117" customWidth="1"/>
    <col min="279" max="279" width="21.453125" style="117" customWidth="1"/>
    <col min="280" max="280" width="16" style="117" customWidth="1"/>
    <col min="281" max="281" width="10.26953125" style="117" customWidth="1"/>
    <col min="282" max="513" width="10.81640625" style="117"/>
    <col min="514" max="514" width="4" style="117" customWidth="1"/>
    <col min="515" max="515" width="17.54296875" style="117" customWidth="1"/>
    <col min="516" max="516" width="21.7265625" style="117" customWidth="1"/>
    <col min="517" max="517" width="23.81640625" style="117" customWidth="1"/>
    <col min="518" max="518" width="15.26953125" style="117" customWidth="1"/>
    <col min="519" max="530" width="5.7265625" style="117" customWidth="1"/>
    <col min="531" max="531" width="14.81640625" style="117" customWidth="1"/>
    <col min="532" max="532" width="17.26953125" style="117" customWidth="1"/>
    <col min="533" max="533" width="17.54296875" style="117" customWidth="1"/>
    <col min="534" max="534" width="14.81640625" style="117" customWidth="1"/>
    <col min="535" max="535" width="21.453125" style="117" customWidth="1"/>
    <col min="536" max="536" width="16" style="117" customWidth="1"/>
    <col min="537" max="537" width="10.26953125" style="117" customWidth="1"/>
    <col min="538" max="769" width="10.81640625" style="117"/>
    <col min="770" max="770" width="4" style="117" customWidth="1"/>
    <col min="771" max="771" width="17.54296875" style="117" customWidth="1"/>
    <col min="772" max="772" width="21.7265625" style="117" customWidth="1"/>
    <col min="773" max="773" width="23.81640625" style="117" customWidth="1"/>
    <col min="774" max="774" width="15.26953125" style="117" customWidth="1"/>
    <col min="775" max="786" width="5.7265625" style="117" customWidth="1"/>
    <col min="787" max="787" width="14.81640625" style="117" customWidth="1"/>
    <col min="788" max="788" width="17.26953125" style="117" customWidth="1"/>
    <col min="789" max="789" width="17.54296875" style="117" customWidth="1"/>
    <col min="790" max="790" width="14.81640625" style="117" customWidth="1"/>
    <col min="791" max="791" width="21.453125" style="117" customWidth="1"/>
    <col min="792" max="792" width="16" style="117" customWidth="1"/>
    <col min="793" max="793" width="10.26953125" style="117" customWidth="1"/>
    <col min="794" max="1025" width="10.81640625" style="117"/>
    <col min="1026" max="1026" width="4" style="117" customWidth="1"/>
    <col min="1027" max="1027" width="17.54296875" style="117" customWidth="1"/>
    <col min="1028" max="1028" width="21.7265625" style="117" customWidth="1"/>
    <col min="1029" max="1029" width="23.81640625" style="117" customWidth="1"/>
    <col min="1030" max="1030" width="15.26953125" style="117" customWidth="1"/>
    <col min="1031" max="1042" width="5.7265625" style="117" customWidth="1"/>
    <col min="1043" max="1043" width="14.81640625" style="117" customWidth="1"/>
    <col min="1044" max="1044" width="17.26953125" style="117" customWidth="1"/>
    <col min="1045" max="1045" width="17.54296875" style="117" customWidth="1"/>
    <col min="1046" max="1046" width="14.81640625" style="117" customWidth="1"/>
    <col min="1047" max="1047" width="21.453125" style="117" customWidth="1"/>
    <col min="1048" max="1048" width="16" style="117" customWidth="1"/>
    <col min="1049" max="1049" width="10.26953125" style="117" customWidth="1"/>
    <col min="1050" max="1281" width="10.81640625" style="117"/>
    <col min="1282" max="1282" width="4" style="117" customWidth="1"/>
    <col min="1283" max="1283" width="17.54296875" style="117" customWidth="1"/>
    <col min="1284" max="1284" width="21.7265625" style="117" customWidth="1"/>
    <col min="1285" max="1285" width="23.81640625" style="117" customWidth="1"/>
    <col min="1286" max="1286" width="15.26953125" style="117" customWidth="1"/>
    <col min="1287" max="1298" width="5.7265625" style="117" customWidth="1"/>
    <col min="1299" max="1299" width="14.81640625" style="117" customWidth="1"/>
    <col min="1300" max="1300" width="17.26953125" style="117" customWidth="1"/>
    <col min="1301" max="1301" width="17.54296875" style="117" customWidth="1"/>
    <col min="1302" max="1302" width="14.81640625" style="117" customWidth="1"/>
    <col min="1303" max="1303" width="21.453125" style="117" customWidth="1"/>
    <col min="1304" max="1304" width="16" style="117" customWidth="1"/>
    <col min="1305" max="1305" width="10.26953125" style="117" customWidth="1"/>
    <col min="1306" max="1537" width="10.81640625" style="117"/>
    <col min="1538" max="1538" width="4" style="117" customWidth="1"/>
    <col min="1539" max="1539" width="17.54296875" style="117" customWidth="1"/>
    <col min="1540" max="1540" width="21.7265625" style="117" customWidth="1"/>
    <col min="1541" max="1541" width="23.81640625" style="117" customWidth="1"/>
    <col min="1542" max="1542" width="15.26953125" style="117" customWidth="1"/>
    <col min="1543" max="1554" width="5.7265625" style="117" customWidth="1"/>
    <col min="1555" max="1555" width="14.81640625" style="117" customWidth="1"/>
    <col min="1556" max="1556" width="17.26953125" style="117" customWidth="1"/>
    <col min="1557" max="1557" width="17.54296875" style="117" customWidth="1"/>
    <col min="1558" max="1558" width="14.81640625" style="117" customWidth="1"/>
    <col min="1559" max="1559" width="21.453125" style="117" customWidth="1"/>
    <col min="1560" max="1560" width="16" style="117" customWidth="1"/>
    <col min="1561" max="1561" width="10.26953125" style="117" customWidth="1"/>
    <col min="1562" max="1793" width="10.81640625" style="117"/>
    <col min="1794" max="1794" width="4" style="117" customWidth="1"/>
    <col min="1795" max="1795" width="17.54296875" style="117" customWidth="1"/>
    <col min="1796" max="1796" width="21.7265625" style="117" customWidth="1"/>
    <col min="1797" max="1797" width="23.81640625" style="117" customWidth="1"/>
    <col min="1798" max="1798" width="15.26953125" style="117" customWidth="1"/>
    <col min="1799" max="1810" width="5.7265625" style="117" customWidth="1"/>
    <col min="1811" max="1811" width="14.81640625" style="117" customWidth="1"/>
    <col min="1812" max="1812" width="17.26953125" style="117" customWidth="1"/>
    <col min="1813" max="1813" width="17.54296875" style="117" customWidth="1"/>
    <col min="1814" max="1814" width="14.81640625" style="117" customWidth="1"/>
    <col min="1815" max="1815" width="21.453125" style="117" customWidth="1"/>
    <col min="1816" max="1816" width="16" style="117" customWidth="1"/>
    <col min="1817" max="1817" width="10.26953125" style="117" customWidth="1"/>
    <col min="1818" max="2049" width="10.81640625" style="117"/>
    <col min="2050" max="2050" width="4" style="117" customWidth="1"/>
    <col min="2051" max="2051" width="17.54296875" style="117" customWidth="1"/>
    <col min="2052" max="2052" width="21.7265625" style="117" customWidth="1"/>
    <col min="2053" max="2053" width="23.81640625" style="117" customWidth="1"/>
    <col min="2054" max="2054" width="15.26953125" style="117" customWidth="1"/>
    <col min="2055" max="2066" width="5.7265625" style="117" customWidth="1"/>
    <col min="2067" max="2067" width="14.81640625" style="117" customWidth="1"/>
    <col min="2068" max="2068" width="17.26953125" style="117" customWidth="1"/>
    <col min="2069" max="2069" width="17.54296875" style="117" customWidth="1"/>
    <col min="2070" max="2070" width="14.81640625" style="117" customWidth="1"/>
    <col min="2071" max="2071" width="21.453125" style="117" customWidth="1"/>
    <col min="2072" max="2072" width="16" style="117" customWidth="1"/>
    <col min="2073" max="2073" width="10.26953125" style="117" customWidth="1"/>
    <col min="2074" max="2305" width="10.81640625" style="117"/>
    <col min="2306" max="2306" width="4" style="117" customWidth="1"/>
    <col min="2307" max="2307" width="17.54296875" style="117" customWidth="1"/>
    <col min="2308" max="2308" width="21.7265625" style="117" customWidth="1"/>
    <col min="2309" max="2309" width="23.81640625" style="117" customWidth="1"/>
    <col min="2310" max="2310" width="15.26953125" style="117" customWidth="1"/>
    <col min="2311" max="2322" width="5.7265625" style="117" customWidth="1"/>
    <col min="2323" max="2323" width="14.81640625" style="117" customWidth="1"/>
    <col min="2324" max="2324" width="17.26953125" style="117" customWidth="1"/>
    <col min="2325" max="2325" width="17.54296875" style="117" customWidth="1"/>
    <col min="2326" max="2326" width="14.81640625" style="117" customWidth="1"/>
    <col min="2327" max="2327" width="21.453125" style="117" customWidth="1"/>
    <col min="2328" max="2328" width="16" style="117" customWidth="1"/>
    <col min="2329" max="2329" width="10.26953125" style="117" customWidth="1"/>
    <col min="2330" max="2561" width="10.81640625" style="117"/>
    <col min="2562" max="2562" width="4" style="117" customWidth="1"/>
    <col min="2563" max="2563" width="17.54296875" style="117" customWidth="1"/>
    <col min="2564" max="2564" width="21.7265625" style="117" customWidth="1"/>
    <col min="2565" max="2565" width="23.81640625" style="117" customWidth="1"/>
    <col min="2566" max="2566" width="15.26953125" style="117" customWidth="1"/>
    <col min="2567" max="2578" width="5.7265625" style="117" customWidth="1"/>
    <col min="2579" max="2579" width="14.81640625" style="117" customWidth="1"/>
    <col min="2580" max="2580" width="17.26953125" style="117" customWidth="1"/>
    <col min="2581" max="2581" width="17.54296875" style="117" customWidth="1"/>
    <col min="2582" max="2582" width="14.81640625" style="117" customWidth="1"/>
    <col min="2583" max="2583" width="21.453125" style="117" customWidth="1"/>
    <col min="2584" max="2584" width="16" style="117" customWidth="1"/>
    <col min="2585" max="2585" width="10.26953125" style="117" customWidth="1"/>
    <col min="2586" max="2817" width="10.81640625" style="117"/>
    <col min="2818" max="2818" width="4" style="117" customWidth="1"/>
    <col min="2819" max="2819" width="17.54296875" style="117" customWidth="1"/>
    <col min="2820" max="2820" width="21.7265625" style="117" customWidth="1"/>
    <col min="2821" max="2821" width="23.81640625" style="117" customWidth="1"/>
    <col min="2822" max="2822" width="15.26953125" style="117" customWidth="1"/>
    <col min="2823" max="2834" width="5.7265625" style="117" customWidth="1"/>
    <col min="2835" max="2835" width="14.81640625" style="117" customWidth="1"/>
    <col min="2836" max="2836" width="17.26953125" style="117" customWidth="1"/>
    <col min="2837" max="2837" width="17.54296875" style="117" customWidth="1"/>
    <col min="2838" max="2838" width="14.81640625" style="117" customWidth="1"/>
    <col min="2839" max="2839" width="21.453125" style="117" customWidth="1"/>
    <col min="2840" max="2840" width="16" style="117" customWidth="1"/>
    <col min="2841" max="2841" width="10.26953125" style="117" customWidth="1"/>
    <col min="2842" max="3073" width="10.81640625" style="117"/>
    <col min="3074" max="3074" width="4" style="117" customWidth="1"/>
    <col min="3075" max="3075" width="17.54296875" style="117" customWidth="1"/>
    <col min="3076" max="3076" width="21.7265625" style="117" customWidth="1"/>
    <col min="3077" max="3077" width="23.81640625" style="117" customWidth="1"/>
    <col min="3078" max="3078" width="15.26953125" style="117" customWidth="1"/>
    <col min="3079" max="3090" width="5.7265625" style="117" customWidth="1"/>
    <col min="3091" max="3091" width="14.81640625" style="117" customWidth="1"/>
    <col min="3092" max="3092" width="17.26953125" style="117" customWidth="1"/>
    <col min="3093" max="3093" width="17.54296875" style="117" customWidth="1"/>
    <col min="3094" max="3094" width="14.81640625" style="117" customWidth="1"/>
    <col min="3095" max="3095" width="21.453125" style="117" customWidth="1"/>
    <col min="3096" max="3096" width="16" style="117" customWidth="1"/>
    <col min="3097" max="3097" width="10.26953125" style="117" customWidth="1"/>
    <col min="3098" max="3329" width="10.81640625" style="117"/>
    <col min="3330" max="3330" width="4" style="117" customWidth="1"/>
    <col min="3331" max="3331" width="17.54296875" style="117" customWidth="1"/>
    <col min="3332" max="3332" width="21.7265625" style="117" customWidth="1"/>
    <col min="3333" max="3333" width="23.81640625" style="117" customWidth="1"/>
    <col min="3334" max="3334" width="15.26953125" style="117" customWidth="1"/>
    <col min="3335" max="3346" width="5.7265625" style="117" customWidth="1"/>
    <col min="3347" max="3347" width="14.81640625" style="117" customWidth="1"/>
    <col min="3348" max="3348" width="17.26953125" style="117" customWidth="1"/>
    <col min="3349" max="3349" width="17.54296875" style="117" customWidth="1"/>
    <col min="3350" max="3350" width="14.81640625" style="117" customWidth="1"/>
    <col min="3351" max="3351" width="21.453125" style="117" customWidth="1"/>
    <col min="3352" max="3352" width="16" style="117" customWidth="1"/>
    <col min="3353" max="3353" width="10.26953125" style="117" customWidth="1"/>
    <col min="3354" max="3585" width="10.81640625" style="117"/>
    <col min="3586" max="3586" width="4" style="117" customWidth="1"/>
    <col min="3587" max="3587" width="17.54296875" style="117" customWidth="1"/>
    <col min="3588" max="3588" width="21.7265625" style="117" customWidth="1"/>
    <col min="3589" max="3589" width="23.81640625" style="117" customWidth="1"/>
    <col min="3590" max="3590" width="15.26953125" style="117" customWidth="1"/>
    <col min="3591" max="3602" width="5.7265625" style="117" customWidth="1"/>
    <col min="3603" max="3603" width="14.81640625" style="117" customWidth="1"/>
    <col min="3604" max="3604" width="17.26953125" style="117" customWidth="1"/>
    <col min="3605" max="3605" width="17.54296875" style="117" customWidth="1"/>
    <col min="3606" max="3606" width="14.81640625" style="117" customWidth="1"/>
    <col min="3607" max="3607" width="21.453125" style="117" customWidth="1"/>
    <col min="3608" max="3608" width="16" style="117" customWidth="1"/>
    <col min="3609" max="3609" width="10.26953125" style="117" customWidth="1"/>
    <col min="3610" max="3841" width="10.81640625" style="117"/>
    <col min="3842" max="3842" width="4" style="117" customWidth="1"/>
    <col min="3843" max="3843" width="17.54296875" style="117" customWidth="1"/>
    <col min="3844" max="3844" width="21.7265625" style="117" customWidth="1"/>
    <col min="3845" max="3845" width="23.81640625" style="117" customWidth="1"/>
    <col min="3846" max="3846" width="15.26953125" style="117" customWidth="1"/>
    <col min="3847" max="3858" width="5.7265625" style="117" customWidth="1"/>
    <col min="3859" max="3859" width="14.81640625" style="117" customWidth="1"/>
    <col min="3860" max="3860" width="17.26953125" style="117" customWidth="1"/>
    <col min="3861" max="3861" width="17.54296875" style="117" customWidth="1"/>
    <col min="3862" max="3862" width="14.81640625" style="117" customWidth="1"/>
    <col min="3863" max="3863" width="21.453125" style="117" customWidth="1"/>
    <col min="3864" max="3864" width="16" style="117" customWidth="1"/>
    <col min="3865" max="3865" width="10.26953125" style="117" customWidth="1"/>
    <col min="3866" max="4097" width="10.81640625" style="117"/>
    <col min="4098" max="4098" width="4" style="117" customWidth="1"/>
    <col min="4099" max="4099" width="17.54296875" style="117" customWidth="1"/>
    <col min="4100" max="4100" width="21.7265625" style="117" customWidth="1"/>
    <col min="4101" max="4101" width="23.81640625" style="117" customWidth="1"/>
    <col min="4102" max="4102" width="15.26953125" style="117" customWidth="1"/>
    <col min="4103" max="4114" width="5.7265625" style="117" customWidth="1"/>
    <col min="4115" max="4115" width="14.81640625" style="117" customWidth="1"/>
    <col min="4116" max="4116" width="17.26953125" style="117" customWidth="1"/>
    <col min="4117" max="4117" width="17.54296875" style="117" customWidth="1"/>
    <col min="4118" max="4118" width="14.81640625" style="117" customWidth="1"/>
    <col min="4119" max="4119" width="21.453125" style="117" customWidth="1"/>
    <col min="4120" max="4120" width="16" style="117" customWidth="1"/>
    <col min="4121" max="4121" width="10.26953125" style="117" customWidth="1"/>
    <col min="4122" max="4353" width="10.81640625" style="117"/>
    <col min="4354" max="4354" width="4" style="117" customWidth="1"/>
    <col min="4355" max="4355" width="17.54296875" style="117" customWidth="1"/>
    <col min="4356" max="4356" width="21.7265625" style="117" customWidth="1"/>
    <col min="4357" max="4357" width="23.81640625" style="117" customWidth="1"/>
    <col min="4358" max="4358" width="15.26953125" style="117" customWidth="1"/>
    <col min="4359" max="4370" width="5.7265625" style="117" customWidth="1"/>
    <col min="4371" max="4371" width="14.81640625" style="117" customWidth="1"/>
    <col min="4372" max="4372" width="17.26953125" style="117" customWidth="1"/>
    <col min="4373" max="4373" width="17.54296875" style="117" customWidth="1"/>
    <col min="4374" max="4374" width="14.81640625" style="117" customWidth="1"/>
    <col min="4375" max="4375" width="21.453125" style="117" customWidth="1"/>
    <col min="4376" max="4376" width="16" style="117" customWidth="1"/>
    <col min="4377" max="4377" width="10.26953125" style="117" customWidth="1"/>
    <col min="4378" max="4609" width="10.81640625" style="117"/>
    <col min="4610" max="4610" width="4" style="117" customWidth="1"/>
    <col min="4611" max="4611" width="17.54296875" style="117" customWidth="1"/>
    <col min="4612" max="4612" width="21.7265625" style="117" customWidth="1"/>
    <col min="4613" max="4613" width="23.81640625" style="117" customWidth="1"/>
    <col min="4614" max="4614" width="15.26953125" style="117" customWidth="1"/>
    <col min="4615" max="4626" width="5.7265625" style="117" customWidth="1"/>
    <col min="4627" max="4627" width="14.81640625" style="117" customWidth="1"/>
    <col min="4628" max="4628" width="17.26953125" style="117" customWidth="1"/>
    <col min="4629" max="4629" width="17.54296875" style="117" customWidth="1"/>
    <col min="4630" max="4630" width="14.81640625" style="117" customWidth="1"/>
    <col min="4631" max="4631" width="21.453125" style="117" customWidth="1"/>
    <col min="4632" max="4632" width="16" style="117" customWidth="1"/>
    <col min="4633" max="4633" width="10.26953125" style="117" customWidth="1"/>
    <col min="4634" max="4865" width="10.81640625" style="117"/>
    <col min="4866" max="4866" width="4" style="117" customWidth="1"/>
    <col min="4867" max="4867" width="17.54296875" style="117" customWidth="1"/>
    <col min="4868" max="4868" width="21.7265625" style="117" customWidth="1"/>
    <col min="4869" max="4869" width="23.81640625" style="117" customWidth="1"/>
    <col min="4870" max="4870" width="15.26953125" style="117" customWidth="1"/>
    <col min="4871" max="4882" width="5.7265625" style="117" customWidth="1"/>
    <col min="4883" max="4883" width="14.81640625" style="117" customWidth="1"/>
    <col min="4884" max="4884" width="17.26953125" style="117" customWidth="1"/>
    <col min="4885" max="4885" width="17.54296875" style="117" customWidth="1"/>
    <col min="4886" max="4886" width="14.81640625" style="117" customWidth="1"/>
    <col min="4887" max="4887" width="21.453125" style="117" customWidth="1"/>
    <col min="4888" max="4888" width="16" style="117" customWidth="1"/>
    <col min="4889" max="4889" width="10.26953125" style="117" customWidth="1"/>
    <col min="4890" max="5121" width="10.81640625" style="117"/>
    <col min="5122" max="5122" width="4" style="117" customWidth="1"/>
    <col min="5123" max="5123" width="17.54296875" style="117" customWidth="1"/>
    <col min="5124" max="5124" width="21.7265625" style="117" customWidth="1"/>
    <col min="5125" max="5125" width="23.81640625" style="117" customWidth="1"/>
    <col min="5126" max="5126" width="15.26953125" style="117" customWidth="1"/>
    <col min="5127" max="5138" width="5.7265625" style="117" customWidth="1"/>
    <col min="5139" max="5139" width="14.81640625" style="117" customWidth="1"/>
    <col min="5140" max="5140" width="17.26953125" style="117" customWidth="1"/>
    <col min="5141" max="5141" width="17.54296875" style="117" customWidth="1"/>
    <col min="5142" max="5142" width="14.81640625" style="117" customWidth="1"/>
    <col min="5143" max="5143" width="21.453125" style="117" customWidth="1"/>
    <col min="5144" max="5144" width="16" style="117" customWidth="1"/>
    <col min="5145" max="5145" width="10.26953125" style="117" customWidth="1"/>
    <col min="5146" max="5377" width="10.81640625" style="117"/>
    <col min="5378" max="5378" width="4" style="117" customWidth="1"/>
    <col min="5379" max="5379" width="17.54296875" style="117" customWidth="1"/>
    <col min="5380" max="5380" width="21.7265625" style="117" customWidth="1"/>
    <col min="5381" max="5381" width="23.81640625" style="117" customWidth="1"/>
    <col min="5382" max="5382" width="15.26953125" style="117" customWidth="1"/>
    <col min="5383" max="5394" width="5.7265625" style="117" customWidth="1"/>
    <col min="5395" max="5395" width="14.81640625" style="117" customWidth="1"/>
    <col min="5396" max="5396" width="17.26953125" style="117" customWidth="1"/>
    <col min="5397" max="5397" width="17.54296875" style="117" customWidth="1"/>
    <col min="5398" max="5398" width="14.81640625" style="117" customWidth="1"/>
    <col min="5399" max="5399" width="21.453125" style="117" customWidth="1"/>
    <col min="5400" max="5400" width="16" style="117" customWidth="1"/>
    <col min="5401" max="5401" width="10.26953125" style="117" customWidth="1"/>
    <col min="5402" max="5633" width="10.81640625" style="117"/>
    <col min="5634" max="5634" width="4" style="117" customWidth="1"/>
    <col min="5635" max="5635" width="17.54296875" style="117" customWidth="1"/>
    <col min="5636" max="5636" width="21.7265625" style="117" customWidth="1"/>
    <col min="5637" max="5637" width="23.81640625" style="117" customWidth="1"/>
    <col min="5638" max="5638" width="15.26953125" style="117" customWidth="1"/>
    <col min="5639" max="5650" width="5.7265625" style="117" customWidth="1"/>
    <col min="5651" max="5651" width="14.81640625" style="117" customWidth="1"/>
    <col min="5652" max="5652" width="17.26953125" style="117" customWidth="1"/>
    <col min="5653" max="5653" width="17.54296875" style="117" customWidth="1"/>
    <col min="5654" max="5654" width="14.81640625" style="117" customWidth="1"/>
    <col min="5655" max="5655" width="21.453125" style="117" customWidth="1"/>
    <col min="5656" max="5656" width="16" style="117" customWidth="1"/>
    <col min="5657" max="5657" width="10.26953125" style="117" customWidth="1"/>
    <col min="5658" max="5889" width="10.81640625" style="117"/>
    <col min="5890" max="5890" width="4" style="117" customWidth="1"/>
    <col min="5891" max="5891" width="17.54296875" style="117" customWidth="1"/>
    <col min="5892" max="5892" width="21.7265625" style="117" customWidth="1"/>
    <col min="5893" max="5893" width="23.81640625" style="117" customWidth="1"/>
    <col min="5894" max="5894" width="15.26953125" style="117" customWidth="1"/>
    <col min="5895" max="5906" width="5.7265625" style="117" customWidth="1"/>
    <col min="5907" max="5907" width="14.81640625" style="117" customWidth="1"/>
    <col min="5908" max="5908" width="17.26953125" style="117" customWidth="1"/>
    <col min="5909" max="5909" width="17.54296875" style="117" customWidth="1"/>
    <col min="5910" max="5910" width="14.81640625" style="117" customWidth="1"/>
    <col min="5911" max="5911" width="21.453125" style="117" customWidth="1"/>
    <col min="5912" max="5912" width="16" style="117" customWidth="1"/>
    <col min="5913" max="5913" width="10.26953125" style="117" customWidth="1"/>
    <col min="5914" max="6145" width="10.81640625" style="117"/>
    <col min="6146" max="6146" width="4" style="117" customWidth="1"/>
    <col min="6147" max="6147" width="17.54296875" style="117" customWidth="1"/>
    <col min="6148" max="6148" width="21.7265625" style="117" customWidth="1"/>
    <col min="6149" max="6149" width="23.81640625" style="117" customWidth="1"/>
    <col min="6150" max="6150" width="15.26953125" style="117" customWidth="1"/>
    <col min="6151" max="6162" width="5.7265625" style="117" customWidth="1"/>
    <col min="6163" max="6163" width="14.81640625" style="117" customWidth="1"/>
    <col min="6164" max="6164" width="17.26953125" style="117" customWidth="1"/>
    <col min="6165" max="6165" width="17.54296875" style="117" customWidth="1"/>
    <col min="6166" max="6166" width="14.81640625" style="117" customWidth="1"/>
    <col min="6167" max="6167" width="21.453125" style="117" customWidth="1"/>
    <col min="6168" max="6168" width="16" style="117" customWidth="1"/>
    <col min="6169" max="6169" width="10.26953125" style="117" customWidth="1"/>
    <col min="6170" max="6401" width="10.81640625" style="117"/>
    <col min="6402" max="6402" width="4" style="117" customWidth="1"/>
    <col min="6403" max="6403" width="17.54296875" style="117" customWidth="1"/>
    <col min="6404" max="6404" width="21.7265625" style="117" customWidth="1"/>
    <col min="6405" max="6405" width="23.81640625" style="117" customWidth="1"/>
    <col min="6406" max="6406" width="15.26953125" style="117" customWidth="1"/>
    <col min="6407" max="6418" width="5.7265625" style="117" customWidth="1"/>
    <col min="6419" max="6419" width="14.81640625" style="117" customWidth="1"/>
    <col min="6420" max="6420" width="17.26953125" style="117" customWidth="1"/>
    <col min="6421" max="6421" width="17.54296875" style="117" customWidth="1"/>
    <col min="6422" max="6422" width="14.81640625" style="117" customWidth="1"/>
    <col min="6423" max="6423" width="21.453125" style="117" customWidth="1"/>
    <col min="6424" max="6424" width="16" style="117" customWidth="1"/>
    <col min="6425" max="6425" width="10.26953125" style="117" customWidth="1"/>
    <col min="6426" max="6657" width="10.81640625" style="117"/>
    <col min="6658" max="6658" width="4" style="117" customWidth="1"/>
    <col min="6659" max="6659" width="17.54296875" style="117" customWidth="1"/>
    <col min="6660" max="6660" width="21.7265625" style="117" customWidth="1"/>
    <col min="6661" max="6661" width="23.81640625" style="117" customWidth="1"/>
    <col min="6662" max="6662" width="15.26953125" style="117" customWidth="1"/>
    <col min="6663" max="6674" width="5.7265625" style="117" customWidth="1"/>
    <col min="6675" max="6675" width="14.81640625" style="117" customWidth="1"/>
    <col min="6676" max="6676" width="17.26953125" style="117" customWidth="1"/>
    <col min="6677" max="6677" width="17.54296875" style="117" customWidth="1"/>
    <col min="6678" max="6678" width="14.81640625" style="117" customWidth="1"/>
    <col min="6679" max="6679" width="21.453125" style="117" customWidth="1"/>
    <col min="6680" max="6680" width="16" style="117" customWidth="1"/>
    <col min="6681" max="6681" width="10.26953125" style="117" customWidth="1"/>
    <col min="6682" max="6913" width="10.81640625" style="117"/>
    <col min="6914" max="6914" width="4" style="117" customWidth="1"/>
    <col min="6915" max="6915" width="17.54296875" style="117" customWidth="1"/>
    <col min="6916" max="6916" width="21.7265625" style="117" customWidth="1"/>
    <col min="6917" max="6917" width="23.81640625" style="117" customWidth="1"/>
    <col min="6918" max="6918" width="15.26953125" style="117" customWidth="1"/>
    <col min="6919" max="6930" width="5.7265625" style="117" customWidth="1"/>
    <col min="6931" max="6931" width="14.81640625" style="117" customWidth="1"/>
    <col min="6932" max="6932" width="17.26953125" style="117" customWidth="1"/>
    <col min="6933" max="6933" width="17.54296875" style="117" customWidth="1"/>
    <col min="6934" max="6934" width="14.81640625" style="117" customWidth="1"/>
    <col min="6935" max="6935" width="21.453125" style="117" customWidth="1"/>
    <col min="6936" max="6936" width="16" style="117" customWidth="1"/>
    <col min="6937" max="6937" width="10.26953125" style="117" customWidth="1"/>
    <col min="6938" max="7169" width="10.81640625" style="117"/>
    <col min="7170" max="7170" width="4" style="117" customWidth="1"/>
    <col min="7171" max="7171" width="17.54296875" style="117" customWidth="1"/>
    <col min="7172" max="7172" width="21.7265625" style="117" customWidth="1"/>
    <col min="7173" max="7173" width="23.81640625" style="117" customWidth="1"/>
    <col min="7174" max="7174" width="15.26953125" style="117" customWidth="1"/>
    <col min="7175" max="7186" width="5.7265625" style="117" customWidth="1"/>
    <col min="7187" max="7187" width="14.81640625" style="117" customWidth="1"/>
    <col min="7188" max="7188" width="17.26953125" style="117" customWidth="1"/>
    <col min="7189" max="7189" width="17.54296875" style="117" customWidth="1"/>
    <col min="7190" max="7190" width="14.81640625" style="117" customWidth="1"/>
    <col min="7191" max="7191" width="21.453125" style="117" customWidth="1"/>
    <col min="7192" max="7192" width="16" style="117" customWidth="1"/>
    <col min="7193" max="7193" width="10.26953125" style="117" customWidth="1"/>
    <col min="7194" max="7425" width="10.81640625" style="117"/>
    <col min="7426" max="7426" width="4" style="117" customWidth="1"/>
    <col min="7427" max="7427" width="17.54296875" style="117" customWidth="1"/>
    <col min="7428" max="7428" width="21.7265625" style="117" customWidth="1"/>
    <col min="7429" max="7429" width="23.81640625" style="117" customWidth="1"/>
    <col min="7430" max="7430" width="15.26953125" style="117" customWidth="1"/>
    <col min="7431" max="7442" width="5.7265625" style="117" customWidth="1"/>
    <col min="7443" max="7443" width="14.81640625" style="117" customWidth="1"/>
    <col min="7444" max="7444" width="17.26953125" style="117" customWidth="1"/>
    <col min="7445" max="7445" width="17.54296875" style="117" customWidth="1"/>
    <col min="7446" max="7446" width="14.81640625" style="117" customWidth="1"/>
    <col min="7447" max="7447" width="21.453125" style="117" customWidth="1"/>
    <col min="7448" max="7448" width="16" style="117" customWidth="1"/>
    <col min="7449" max="7449" width="10.26953125" style="117" customWidth="1"/>
    <col min="7450" max="7681" width="10.81640625" style="117"/>
    <col min="7682" max="7682" width="4" style="117" customWidth="1"/>
    <col min="7683" max="7683" width="17.54296875" style="117" customWidth="1"/>
    <col min="7684" max="7684" width="21.7265625" style="117" customWidth="1"/>
    <col min="7685" max="7685" width="23.81640625" style="117" customWidth="1"/>
    <col min="7686" max="7686" width="15.26953125" style="117" customWidth="1"/>
    <col min="7687" max="7698" width="5.7265625" style="117" customWidth="1"/>
    <col min="7699" max="7699" width="14.81640625" style="117" customWidth="1"/>
    <col min="7700" max="7700" width="17.26953125" style="117" customWidth="1"/>
    <col min="7701" max="7701" width="17.54296875" style="117" customWidth="1"/>
    <col min="7702" max="7702" width="14.81640625" style="117" customWidth="1"/>
    <col min="7703" max="7703" width="21.453125" style="117" customWidth="1"/>
    <col min="7704" max="7704" width="16" style="117" customWidth="1"/>
    <col min="7705" max="7705" width="10.26953125" style="117" customWidth="1"/>
    <col min="7706" max="7937" width="10.81640625" style="117"/>
    <col min="7938" max="7938" width="4" style="117" customWidth="1"/>
    <col min="7939" max="7939" width="17.54296875" style="117" customWidth="1"/>
    <col min="7940" max="7940" width="21.7265625" style="117" customWidth="1"/>
    <col min="7941" max="7941" width="23.81640625" style="117" customWidth="1"/>
    <col min="7942" max="7942" width="15.26953125" style="117" customWidth="1"/>
    <col min="7943" max="7954" width="5.7265625" style="117" customWidth="1"/>
    <col min="7955" max="7955" width="14.81640625" style="117" customWidth="1"/>
    <col min="7956" max="7956" width="17.26953125" style="117" customWidth="1"/>
    <col min="7957" max="7957" width="17.54296875" style="117" customWidth="1"/>
    <col min="7958" max="7958" width="14.81640625" style="117" customWidth="1"/>
    <col min="7959" max="7959" width="21.453125" style="117" customWidth="1"/>
    <col min="7960" max="7960" width="16" style="117" customWidth="1"/>
    <col min="7961" max="7961" width="10.26953125" style="117" customWidth="1"/>
    <col min="7962" max="8193" width="10.81640625" style="117"/>
    <col min="8194" max="8194" width="4" style="117" customWidth="1"/>
    <col min="8195" max="8195" width="17.54296875" style="117" customWidth="1"/>
    <col min="8196" max="8196" width="21.7265625" style="117" customWidth="1"/>
    <col min="8197" max="8197" width="23.81640625" style="117" customWidth="1"/>
    <col min="8198" max="8198" width="15.26953125" style="117" customWidth="1"/>
    <col min="8199" max="8210" width="5.7265625" style="117" customWidth="1"/>
    <col min="8211" max="8211" width="14.81640625" style="117" customWidth="1"/>
    <col min="8212" max="8212" width="17.26953125" style="117" customWidth="1"/>
    <col min="8213" max="8213" width="17.54296875" style="117" customWidth="1"/>
    <col min="8214" max="8214" width="14.81640625" style="117" customWidth="1"/>
    <col min="8215" max="8215" width="21.453125" style="117" customWidth="1"/>
    <col min="8216" max="8216" width="16" style="117" customWidth="1"/>
    <col min="8217" max="8217" width="10.26953125" style="117" customWidth="1"/>
    <col min="8218" max="8449" width="10.81640625" style="117"/>
    <col min="8450" max="8450" width="4" style="117" customWidth="1"/>
    <col min="8451" max="8451" width="17.54296875" style="117" customWidth="1"/>
    <col min="8452" max="8452" width="21.7265625" style="117" customWidth="1"/>
    <col min="8453" max="8453" width="23.81640625" style="117" customWidth="1"/>
    <col min="8454" max="8454" width="15.26953125" style="117" customWidth="1"/>
    <col min="8455" max="8466" width="5.7265625" style="117" customWidth="1"/>
    <col min="8467" max="8467" width="14.81640625" style="117" customWidth="1"/>
    <col min="8468" max="8468" width="17.26953125" style="117" customWidth="1"/>
    <col min="8469" max="8469" width="17.54296875" style="117" customWidth="1"/>
    <col min="8470" max="8470" width="14.81640625" style="117" customWidth="1"/>
    <col min="8471" max="8471" width="21.453125" style="117" customWidth="1"/>
    <col min="8472" max="8472" width="16" style="117" customWidth="1"/>
    <col min="8473" max="8473" width="10.26953125" style="117" customWidth="1"/>
    <col min="8474" max="8705" width="10.81640625" style="117"/>
    <col min="8706" max="8706" width="4" style="117" customWidth="1"/>
    <col min="8707" max="8707" width="17.54296875" style="117" customWidth="1"/>
    <col min="8708" max="8708" width="21.7265625" style="117" customWidth="1"/>
    <col min="8709" max="8709" width="23.81640625" style="117" customWidth="1"/>
    <col min="8710" max="8710" width="15.26953125" style="117" customWidth="1"/>
    <col min="8711" max="8722" width="5.7265625" style="117" customWidth="1"/>
    <col min="8723" max="8723" width="14.81640625" style="117" customWidth="1"/>
    <col min="8724" max="8724" width="17.26953125" style="117" customWidth="1"/>
    <col min="8725" max="8725" width="17.54296875" style="117" customWidth="1"/>
    <col min="8726" max="8726" width="14.81640625" style="117" customWidth="1"/>
    <col min="8727" max="8727" width="21.453125" style="117" customWidth="1"/>
    <col min="8728" max="8728" width="16" style="117" customWidth="1"/>
    <col min="8729" max="8729" width="10.26953125" style="117" customWidth="1"/>
    <col min="8730" max="8961" width="10.81640625" style="117"/>
    <col min="8962" max="8962" width="4" style="117" customWidth="1"/>
    <col min="8963" max="8963" width="17.54296875" style="117" customWidth="1"/>
    <col min="8964" max="8964" width="21.7265625" style="117" customWidth="1"/>
    <col min="8965" max="8965" width="23.81640625" style="117" customWidth="1"/>
    <col min="8966" max="8966" width="15.26953125" style="117" customWidth="1"/>
    <col min="8967" max="8978" width="5.7265625" style="117" customWidth="1"/>
    <col min="8979" max="8979" width="14.81640625" style="117" customWidth="1"/>
    <col min="8980" max="8980" width="17.26953125" style="117" customWidth="1"/>
    <col min="8981" max="8981" width="17.54296875" style="117" customWidth="1"/>
    <col min="8982" max="8982" width="14.81640625" style="117" customWidth="1"/>
    <col min="8983" max="8983" width="21.453125" style="117" customWidth="1"/>
    <col min="8984" max="8984" width="16" style="117" customWidth="1"/>
    <col min="8985" max="8985" width="10.26953125" style="117" customWidth="1"/>
    <col min="8986" max="9217" width="10.81640625" style="117"/>
    <col min="9218" max="9218" width="4" style="117" customWidth="1"/>
    <col min="9219" max="9219" width="17.54296875" style="117" customWidth="1"/>
    <col min="9220" max="9220" width="21.7265625" style="117" customWidth="1"/>
    <col min="9221" max="9221" width="23.81640625" style="117" customWidth="1"/>
    <col min="9222" max="9222" width="15.26953125" style="117" customWidth="1"/>
    <col min="9223" max="9234" width="5.7265625" style="117" customWidth="1"/>
    <col min="9235" max="9235" width="14.81640625" style="117" customWidth="1"/>
    <col min="9236" max="9236" width="17.26953125" style="117" customWidth="1"/>
    <col min="9237" max="9237" width="17.54296875" style="117" customWidth="1"/>
    <col min="9238" max="9238" width="14.81640625" style="117" customWidth="1"/>
    <col min="9239" max="9239" width="21.453125" style="117" customWidth="1"/>
    <col min="9240" max="9240" width="16" style="117" customWidth="1"/>
    <col min="9241" max="9241" width="10.26953125" style="117" customWidth="1"/>
    <col min="9242" max="9473" width="10.81640625" style="117"/>
    <col min="9474" max="9474" width="4" style="117" customWidth="1"/>
    <col min="9475" max="9475" width="17.54296875" style="117" customWidth="1"/>
    <col min="9476" max="9476" width="21.7265625" style="117" customWidth="1"/>
    <col min="9477" max="9477" width="23.81640625" style="117" customWidth="1"/>
    <col min="9478" max="9478" width="15.26953125" style="117" customWidth="1"/>
    <col min="9479" max="9490" width="5.7265625" style="117" customWidth="1"/>
    <col min="9491" max="9491" width="14.81640625" style="117" customWidth="1"/>
    <col min="9492" max="9492" width="17.26953125" style="117" customWidth="1"/>
    <col min="9493" max="9493" width="17.54296875" style="117" customWidth="1"/>
    <col min="9494" max="9494" width="14.81640625" style="117" customWidth="1"/>
    <col min="9495" max="9495" width="21.453125" style="117" customWidth="1"/>
    <col min="9496" max="9496" width="16" style="117" customWidth="1"/>
    <col min="9497" max="9497" width="10.26953125" style="117" customWidth="1"/>
    <col min="9498" max="9729" width="10.81640625" style="117"/>
    <col min="9730" max="9730" width="4" style="117" customWidth="1"/>
    <col min="9731" max="9731" width="17.54296875" style="117" customWidth="1"/>
    <col min="9732" max="9732" width="21.7265625" style="117" customWidth="1"/>
    <col min="9733" max="9733" width="23.81640625" style="117" customWidth="1"/>
    <col min="9734" max="9734" width="15.26953125" style="117" customWidth="1"/>
    <col min="9735" max="9746" width="5.7265625" style="117" customWidth="1"/>
    <col min="9747" max="9747" width="14.81640625" style="117" customWidth="1"/>
    <col min="9748" max="9748" width="17.26953125" style="117" customWidth="1"/>
    <col min="9749" max="9749" width="17.54296875" style="117" customWidth="1"/>
    <col min="9750" max="9750" width="14.81640625" style="117" customWidth="1"/>
    <col min="9751" max="9751" width="21.453125" style="117" customWidth="1"/>
    <col min="9752" max="9752" width="16" style="117" customWidth="1"/>
    <col min="9753" max="9753" width="10.26953125" style="117" customWidth="1"/>
    <col min="9754" max="9985" width="10.81640625" style="117"/>
    <col min="9986" max="9986" width="4" style="117" customWidth="1"/>
    <col min="9987" max="9987" width="17.54296875" style="117" customWidth="1"/>
    <col min="9988" max="9988" width="21.7265625" style="117" customWidth="1"/>
    <col min="9989" max="9989" width="23.81640625" style="117" customWidth="1"/>
    <col min="9990" max="9990" width="15.26953125" style="117" customWidth="1"/>
    <col min="9991" max="10002" width="5.7265625" style="117" customWidth="1"/>
    <col min="10003" max="10003" width="14.81640625" style="117" customWidth="1"/>
    <col min="10004" max="10004" width="17.26953125" style="117" customWidth="1"/>
    <col min="10005" max="10005" width="17.54296875" style="117" customWidth="1"/>
    <col min="10006" max="10006" width="14.81640625" style="117" customWidth="1"/>
    <col min="10007" max="10007" width="21.453125" style="117" customWidth="1"/>
    <col min="10008" max="10008" width="16" style="117" customWidth="1"/>
    <col min="10009" max="10009" width="10.26953125" style="117" customWidth="1"/>
    <col min="10010" max="10241" width="10.81640625" style="117"/>
    <col min="10242" max="10242" width="4" style="117" customWidth="1"/>
    <col min="10243" max="10243" width="17.54296875" style="117" customWidth="1"/>
    <col min="10244" max="10244" width="21.7265625" style="117" customWidth="1"/>
    <col min="10245" max="10245" width="23.81640625" style="117" customWidth="1"/>
    <col min="10246" max="10246" width="15.26953125" style="117" customWidth="1"/>
    <col min="10247" max="10258" width="5.7265625" style="117" customWidth="1"/>
    <col min="10259" max="10259" width="14.81640625" style="117" customWidth="1"/>
    <col min="10260" max="10260" width="17.26953125" style="117" customWidth="1"/>
    <col min="10261" max="10261" width="17.54296875" style="117" customWidth="1"/>
    <col min="10262" max="10262" width="14.81640625" style="117" customWidth="1"/>
    <col min="10263" max="10263" width="21.453125" style="117" customWidth="1"/>
    <col min="10264" max="10264" width="16" style="117" customWidth="1"/>
    <col min="10265" max="10265" width="10.26953125" style="117" customWidth="1"/>
    <col min="10266" max="10497" width="10.81640625" style="117"/>
    <col min="10498" max="10498" width="4" style="117" customWidth="1"/>
    <col min="10499" max="10499" width="17.54296875" style="117" customWidth="1"/>
    <col min="10500" max="10500" width="21.7265625" style="117" customWidth="1"/>
    <col min="10501" max="10501" width="23.81640625" style="117" customWidth="1"/>
    <col min="10502" max="10502" width="15.26953125" style="117" customWidth="1"/>
    <col min="10503" max="10514" width="5.7265625" style="117" customWidth="1"/>
    <col min="10515" max="10515" width="14.81640625" style="117" customWidth="1"/>
    <col min="10516" max="10516" width="17.26953125" style="117" customWidth="1"/>
    <col min="10517" max="10517" width="17.54296875" style="117" customWidth="1"/>
    <col min="10518" max="10518" width="14.81640625" style="117" customWidth="1"/>
    <col min="10519" max="10519" width="21.453125" style="117" customWidth="1"/>
    <col min="10520" max="10520" width="16" style="117" customWidth="1"/>
    <col min="10521" max="10521" width="10.26953125" style="117" customWidth="1"/>
    <col min="10522" max="10753" width="10.81640625" style="117"/>
    <col min="10754" max="10754" width="4" style="117" customWidth="1"/>
    <col min="10755" max="10755" width="17.54296875" style="117" customWidth="1"/>
    <col min="10756" max="10756" width="21.7265625" style="117" customWidth="1"/>
    <col min="10757" max="10757" width="23.81640625" style="117" customWidth="1"/>
    <col min="10758" max="10758" width="15.26953125" style="117" customWidth="1"/>
    <col min="10759" max="10770" width="5.7265625" style="117" customWidth="1"/>
    <col min="10771" max="10771" width="14.81640625" style="117" customWidth="1"/>
    <col min="10772" max="10772" width="17.26953125" style="117" customWidth="1"/>
    <col min="10773" max="10773" width="17.54296875" style="117" customWidth="1"/>
    <col min="10774" max="10774" width="14.81640625" style="117" customWidth="1"/>
    <col min="10775" max="10775" width="21.453125" style="117" customWidth="1"/>
    <col min="10776" max="10776" width="16" style="117" customWidth="1"/>
    <col min="10777" max="10777" width="10.26953125" style="117" customWidth="1"/>
    <col min="10778" max="11009" width="10.81640625" style="117"/>
    <col min="11010" max="11010" width="4" style="117" customWidth="1"/>
    <col min="11011" max="11011" width="17.54296875" style="117" customWidth="1"/>
    <col min="11012" max="11012" width="21.7265625" style="117" customWidth="1"/>
    <col min="11013" max="11013" width="23.81640625" style="117" customWidth="1"/>
    <col min="11014" max="11014" width="15.26953125" style="117" customWidth="1"/>
    <col min="11015" max="11026" width="5.7265625" style="117" customWidth="1"/>
    <col min="11027" max="11027" width="14.81640625" style="117" customWidth="1"/>
    <col min="11028" max="11028" width="17.26953125" style="117" customWidth="1"/>
    <col min="11029" max="11029" width="17.54296875" style="117" customWidth="1"/>
    <col min="11030" max="11030" width="14.81640625" style="117" customWidth="1"/>
    <col min="11031" max="11031" width="21.453125" style="117" customWidth="1"/>
    <col min="11032" max="11032" width="16" style="117" customWidth="1"/>
    <col min="11033" max="11033" width="10.26953125" style="117" customWidth="1"/>
    <col min="11034" max="11265" width="10.81640625" style="117"/>
    <col min="11266" max="11266" width="4" style="117" customWidth="1"/>
    <col min="11267" max="11267" width="17.54296875" style="117" customWidth="1"/>
    <col min="11268" max="11268" width="21.7265625" style="117" customWidth="1"/>
    <col min="11269" max="11269" width="23.81640625" style="117" customWidth="1"/>
    <col min="11270" max="11270" width="15.26953125" style="117" customWidth="1"/>
    <col min="11271" max="11282" width="5.7265625" style="117" customWidth="1"/>
    <col min="11283" max="11283" width="14.81640625" style="117" customWidth="1"/>
    <col min="11284" max="11284" width="17.26953125" style="117" customWidth="1"/>
    <col min="11285" max="11285" width="17.54296875" style="117" customWidth="1"/>
    <col min="11286" max="11286" width="14.81640625" style="117" customWidth="1"/>
    <col min="11287" max="11287" width="21.453125" style="117" customWidth="1"/>
    <col min="11288" max="11288" width="16" style="117" customWidth="1"/>
    <col min="11289" max="11289" width="10.26953125" style="117" customWidth="1"/>
    <col min="11290" max="11521" width="10.81640625" style="117"/>
    <col min="11522" max="11522" width="4" style="117" customWidth="1"/>
    <col min="11523" max="11523" width="17.54296875" style="117" customWidth="1"/>
    <col min="11524" max="11524" width="21.7265625" style="117" customWidth="1"/>
    <col min="11525" max="11525" width="23.81640625" style="117" customWidth="1"/>
    <col min="11526" max="11526" width="15.26953125" style="117" customWidth="1"/>
    <col min="11527" max="11538" width="5.7265625" style="117" customWidth="1"/>
    <col min="11539" max="11539" width="14.81640625" style="117" customWidth="1"/>
    <col min="11540" max="11540" width="17.26953125" style="117" customWidth="1"/>
    <col min="11541" max="11541" width="17.54296875" style="117" customWidth="1"/>
    <col min="11542" max="11542" width="14.81640625" style="117" customWidth="1"/>
    <col min="11543" max="11543" width="21.453125" style="117" customWidth="1"/>
    <col min="11544" max="11544" width="16" style="117" customWidth="1"/>
    <col min="11545" max="11545" width="10.26953125" style="117" customWidth="1"/>
    <col min="11546" max="11777" width="10.81640625" style="117"/>
    <col min="11778" max="11778" width="4" style="117" customWidth="1"/>
    <col min="11779" max="11779" width="17.54296875" style="117" customWidth="1"/>
    <col min="11780" max="11780" width="21.7265625" style="117" customWidth="1"/>
    <col min="11781" max="11781" width="23.81640625" style="117" customWidth="1"/>
    <col min="11782" max="11782" width="15.26953125" style="117" customWidth="1"/>
    <col min="11783" max="11794" width="5.7265625" style="117" customWidth="1"/>
    <col min="11795" max="11795" width="14.81640625" style="117" customWidth="1"/>
    <col min="11796" max="11796" width="17.26953125" style="117" customWidth="1"/>
    <col min="11797" max="11797" width="17.54296875" style="117" customWidth="1"/>
    <col min="11798" max="11798" width="14.81640625" style="117" customWidth="1"/>
    <col min="11799" max="11799" width="21.453125" style="117" customWidth="1"/>
    <col min="11800" max="11800" width="16" style="117" customWidth="1"/>
    <col min="11801" max="11801" width="10.26953125" style="117" customWidth="1"/>
    <col min="11802" max="12033" width="10.81640625" style="117"/>
    <col min="12034" max="12034" width="4" style="117" customWidth="1"/>
    <col min="12035" max="12035" width="17.54296875" style="117" customWidth="1"/>
    <col min="12036" max="12036" width="21.7265625" style="117" customWidth="1"/>
    <col min="12037" max="12037" width="23.81640625" style="117" customWidth="1"/>
    <col min="12038" max="12038" width="15.26953125" style="117" customWidth="1"/>
    <col min="12039" max="12050" width="5.7265625" style="117" customWidth="1"/>
    <col min="12051" max="12051" width="14.81640625" style="117" customWidth="1"/>
    <col min="12052" max="12052" width="17.26953125" style="117" customWidth="1"/>
    <col min="12053" max="12053" width="17.54296875" style="117" customWidth="1"/>
    <col min="12054" max="12054" width="14.81640625" style="117" customWidth="1"/>
    <col min="12055" max="12055" width="21.453125" style="117" customWidth="1"/>
    <col min="12056" max="12056" width="16" style="117" customWidth="1"/>
    <col min="12057" max="12057" width="10.26953125" style="117" customWidth="1"/>
    <col min="12058" max="12289" width="10.81640625" style="117"/>
    <col min="12290" max="12290" width="4" style="117" customWidth="1"/>
    <col min="12291" max="12291" width="17.54296875" style="117" customWidth="1"/>
    <col min="12292" max="12292" width="21.7265625" style="117" customWidth="1"/>
    <col min="12293" max="12293" width="23.81640625" style="117" customWidth="1"/>
    <col min="12294" max="12294" width="15.26953125" style="117" customWidth="1"/>
    <col min="12295" max="12306" width="5.7265625" style="117" customWidth="1"/>
    <col min="12307" max="12307" width="14.81640625" style="117" customWidth="1"/>
    <col min="12308" max="12308" width="17.26953125" style="117" customWidth="1"/>
    <col min="12309" max="12309" width="17.54296875" style="117" customWidth="1"/>
    <col min="12310" max="12310" width="14.81640625" style="117" customWidth="1"/>
    <col min="12311" max="12311" width="21.453125" style="117" customWidth="1"/>
    <col min="12312" max="12312" width="16" style="117" customWidth="1"/>
    <col min="12313" max="12313" width="10.26953125" style="117" customWidth="1"/>
    <col min="12314" max="12545" width="10.81640625" style="117"/>
    <col min="12546" max="12546" width="4" style="117" customWidth="1"/>
    <col min="12547" max="12547" width="17.54296875" style="117" customWidth="1"/>
    <col min="12548" max="12548" width="21.7265625" style="117" customWidth="1"/>
    <col min="12549" max="12549" width="23.81640625" style="117" customWidth="1"/>
    <col min="12550" max="12550" width="15.26953125" style="117" customWidth="1"/>
    <col min="12551" max="12562" width="5.7265625" style="117" customWidth="1"/>
    <col min="12563" max="12563" width="14.81640625" style="117" customWidth="1"/>
    <col min="12564" max="12564" width="17.26953125" style="117" customWidth="1"/>
    <col min="12565" max="12565" width="17.54296875" style="117" customWidth="1"/>
    <col min="12566" max="12566" width="14.81640625" style="117" customWidth="1"/>
    <col min="12567" max="12567" width="21.453125" style="117" customWidth="1"/>
    <col min="12568" max="12568" width="16" style="117" customWidth="1"/>
    <col min="12569" max="12569" width="10.26953125" style="117" customWidth="1"/>
    <col min="12570" max="12801" width="10.81640625" style="117"/>
    <col min="12802" max="12802" width="4" style="117" customWidth="1"/>
    <col min="12803" max="12803" width="17.54296875" style="117" customWidth="1"/>
    <col min="12804" max="12804" width="21.7265625" style="117" customWidth="1"/>
    <col min="12805" max="12805" width="23.81640625" style="117" customWidth="1"/>
    <col min="12806" max="12806" width="15.26953125" style="117" customWidth="1"/>
    <col min="12807" max="12818" width="5.7265625" style="117" customWidth="1"/>
    <col min="12819" max="12819" width="14.81640625" style="117" customWidth="1"/>
    <col min="12820" max="12820" width="17.26953125" style="117" customWidth="1"/>
    <col min="12821" max="12821" width="17.54296875" style="117" customWidth="1"/>
    <col min="12822" max="12822" width="14.81640625" style="117" customWidth="1"/>
    <col min="12823" max="12823" width="21.453125" style="117" customWidth="1"/>
    <col min="12824" max="12824" width="16" style="117" customWidth="1"/>
    <col min="12825" max="12825" width="10.26953125" style="117" customWidth="1"/>
    <col min="12826" max="13057" width="10.81640625" style="117"/>
    <col min="13058" max="13058" width="4" style="117" customWidth="1"/>
    <col min="13059" max="13059" width="17.54296875" style="117" customWidth="1"/>
    <col min="13060" max="13060" width="21.7265625" style="117" customWidth="1"/>
    <col min="13061" max="13061" width="23.81640625" style="117" customWidth="1"/>
    <col min="13062" max="13062" width="15.26953125" style="117" customWidth="1"/>
    <col min="13063" max="13074" width="5.7265625" style="117" customWidth="1"/>
    <col min="13075" max="13075" width="14.81640625" style="117" customWidth="1"/>
    <col min="13076" max="13076" width="17.26953125" style="117" customWidth="1"/>
    <col min="13077" max="13077" width="17.54296875" style="117" customWidth="1"/>
    <col min="13078" max="13078" width="14.81640625" style="117" customWidth="1"/>
    <col min="13079" max="13079" width="21.453125" style="117" customWidth="1"/>
    <col min="13080" max="13080" width="16" style="117" customWidth="1"/>
    <col min="13081" max="13081" width="10.26953125" style="117" customWidth="1"/>
    <col min="13082" max="13313" width="10.81640625" style="117"/>
    <col min="13314" max="13314" width="4" style="117" customWidth="1"/>
    <col min="13315" max="13315" width="17.54296875" style="117" customWidth="1"/>
    <col min="13316" max="13316" width="21.7265625" style="117" customWidth="1"/>
    <col min="13317" max="13317" width="23.81640625" style="117" customWidth="1"/>
    <col min="13318" max="13318" width="15.26953125" style="117" customWidth="1"/>
    <col min="13319" max="13330" width="5.7265625" style="117" customWidth="1"/>
    <col min="13331" max="13331" width="14.81640625" style="117" customWidth="1"/>
    <col min="13332" max="13332" width="17.26953125" style="117" customWidth="1"/>
    <col min="13333" max="13333" width="17.54296875" style="117" customWidth="1"/>
    <col min="13334" max="13334" width="14.81640625" style="117" customWidth="1"/>
    <col min="13335" max="13335" width="21.453125" style="117" customWidth="1"/>
    <col min="13336" max="13336" width="16" style="117" customWidth="1"/>
    <col min="13337" max="13337" width="10.26953125" style="117" customWidth="1"/>
    <col min="13338" max="13569" width="10.81640625" style="117"/>
    <col min="13570" max="13570" width="4" style="117" customWidth="1"/>
    <col min="13571" max="13571" width="17.54296875" style="117" customWidth="1"/>
    <col min="13572" max="13572" width="21.7265625" style="117" customWidth="1"/>
    <col min="13573" max="13573" width="23.81640625" style="117" customWidth="1"/>
    <col min="13574" max="13574" width="15.26953125" style="117" customWidth="1"/>
    <col min="13575" max="13586" width="5.7265625" style="117" customWidth="1"/>
    <col min="13587" max="13587" width="14.81640625" style="117" customWidth="1"/>
    <col min="13588" max="13588" width="17.26953125" style="117" customWidth="1"/>
    <col min="13589" max="13589" width="17.54296875" style="117" customWidth="1"/>
    <col min="13590" max="13590" width="14.81640625" style="117" customWidth="1"/>
    <col min="13591" max="13591" width="21.453125" style="117" customWidth="1"/>
    <col min="13592" max="13592" width="16" style="117" customWidth="1"/>
    <col min="13593" max="13593" width="10.26953125" style="117" customWidth="1"/>
    <col min="13594" max="13825" width="10.81640625" style="117"/>
    <col min="13826" max="13826" width="4" style="117" customWidth="1"/>
    <col min="13827" max="13827" width="17.54296875" style="117" customWidth="1"/>
    <col min="13828" max="13828" width="21.7265625" style="117" customWidth="1"/>
    <col min="13829" max="13829" width="23.81640625" style="117" customWidth="1"/>
    <col min="13830" max="13830" width="15.26953125" style="117" customWidth="1"/>
    <col min="13831" max="13842" width="5.7265625" style="117" customWidth="1"/>
    <col min="13843" max="13843" width="14.81640625" style="117" customWidth="1"/>
    <col min="13844" max="13844" width="17.26953125" style="117" customWidth="1"/>
    <col min="13845" max="13845" width="17.54296875" style="117" customWidth="1"/>
    <col min="13846" max="13846" width="14.81640625" style="117" customWidth="1"/>
    <col min="13847" max="13847" width="21.453125" style="117" customWidth="1"/>
    <col min="13848" max="13848" width="16" style="117" customWidth="1"/>
    <col min="13849" max="13849" width="10.26953125" style="117" customWidth="1"/>
    <col min="13850" max="14081" width="10.81640625" style="117"/>
    <col min="14082" max="14082" width="4" style="117" customWidth="1"/>
    <col min="14083" max="14083" width="17.54296875" style="117" customWidth="1"/>
    <col min="14084" max="14084" width="21.7265625" style="117" customWidth="1"/>
    <col min="14085" max="14085" width="23.81640625" style="117" customWidth="1"/>
    <col min="14086" max="14086" width="15.26953125" style="117" customWidth="1"/>
    <col min="14087" max="14098" width="5.7265625" style="117" customWidth="1"/>
    <col min="14099" max="14099" width="14.81640625" style="117" customWidth="1"/>
    <col min="14100" max="14100" width="17.26953125" style="117" customWidth="1"/>
    <col min="14101" max="14101" width="17.54296875" style="117" customWidth="1"/>
    <col min="14102" max="14102" width="14.81640625" style="117" customWidth="1"/>
    <col min="14103" max="14103" width="21.453125" style="117" customWidth="1"/>
    <col min="14104" max="14104" width="16" style="117" customWidth="1"/>
    <col min="14105" max="14105" width="10.26953125" style="117" customWidth="1"/>
    <col min="14106" max="14337" width="10.81640625" style="117"/>
    <col min="14338" max="14338" width="4" style="117" customWidth="1"/>
    <col min="14339" max="14339" width="17.54296875" style="117" customWidth="1"/>
    <col min="14340" max="14340" width="21.7265625" style="117" customWidth="1"/>
    <col min="14341" max="14341" width="23.81640625" style="117" customWidth="1"/>
    <col min="14342" max="14342" width="15.26953125" style="117" customWidth="1"/>
    <col min="14343" max="14354" width="5.7265625" style="117" customWidth="1"/>
    <col min="14355" max="14355" width="14.81640625" style="117" customWidth="1"/>
    <col min="14356" max="14356" width="17.26953125" style="117" customWidth="1"/>
    <col min="14357" max="14357" width="17.54296875" style="117" customWidth="1"/>
    <col min="14358" max="14358" width="14.81640625" style="117" customWidth="1"/>
    <col min="14359" max="14359" width="21.453125" style="117" customWidth="1"/>
    <col min="14360" max="14360" width="16" style="117" customWidth="1"/>
    <col min="14361" max="14361" width="10.26953125" style="117" customWidth="1"/>
    <col min="14362" max="14593" width="10.81640625" style="117"/>
    <col min="14594" max="14594" width="4" style="117" customWidth="1"/>
    <col min="14595" max="14595" width="17.54296875" style="117" customWidth="1"/>
    <col min="14596" max="14596" width="21.7265625" style="117" customWidth="1"/>
    <col min="14597" max="14597" width="23.81640625" style="117" customWidth="1"/>
    <col min="14598" max="14598" width="15.26953125" style="117" customWidth="1"/>
    <col min="14599" max="14610" width="5.7265625" style="117" customWidth="1"/>
    <col min="14611" max="14611" width="14.81640625" style="117" customWidth="1"/>
    <col min="14612" max="14612" width="17.26953125" style="117" customWidth="1"/>
    <col min="14613" max="14613" width="17.54296875" style="117" customWidth="1"/>
    <col min="14614" max="14614" width="14.81640625" style="117" customWidth="1"/>
    <col min="14615" max="14615" width="21.453125" style="117" customWidth="1"/>
    <col min="14616" max="14616" width="16" style="117" customWidth="1"/>
    <col min="14617" max="14617" width="10.26953125" style="117" customWidth="1"/>
    <col min="14618" max="14849" width="10.81640625" style="117"/>
    <col min="14850" max="14850" width="4" style="117" customWidth="1"/>
    <col min="14851" max="14851" width="17.54296875" style="117" customWidth="1"/>
    <col min="14852" max="14852" width="21.7265625" style="117" customWidth="1"/>
    <col min="14853" max="14853" width="23.81640625" style="117" customWidth="1"/>
    <col min="14854" max="14854" width="15.26953125" style="117" customWidth="1"/>
    <col min="14855" max="14866" width="5.7265625" style="117" customWidth="1"/>
    <col min="14867" max="14867" width="14.81640625" style="117" customWidth="1"/>
    <col min="14868" max="14868" width="17.26953125" style="117" customWidth="1"/>
    <col min="14869" max="14869" width="17.54296875" style="117" customWidth="1"/>
    <col min="14870" max="14870" width="14.81640625" style="117" customWidth="1"/>
    <col min="14871" max="14871" width="21.453125" style="117" customWidth="1"/>
    <col min="14872" max="14872" width="16" style="117" customWidth="1"/>
    <col min="14873" max="14873" width="10.26953125" style="117" customWidth="1"/>
    <col min="14874" max="15105" width="10.81640625" style="117"/>
    <col min="15106" max="15106" width="4" style="117" customWidth="1"/>
    <col min="15107" max="15107" width="17.54296875" style="117" customWidth="1"/>
    <col min="15108" max="15108" width="21.7265625" style="117" customWidth="1"/>
    <col min="15109" max="15109" width="23.81640625" style="117" customWidth="1"/>
    <col min="15110" max="15110" width="15.26953125" style="117" customWidth="1"/>
    <col min="15111" max="15122" width="5.7265625" style="117" customWidth="1"/>
    <col min="15123" max="15123" width="14.81640625" style="117" customWidth="1"/>
    <col min="15124" max="15124" width="17.26953125" style="117" customWidth="1"/>
    <col min="15125" max="15125" width="17.54296875" style="117" customWidth="1"/>
    <col min="15126" max="15126" width="14.81640625" style="117" customWidth="1"/>
    <col min="15127" max="15127" width="21.453125" style="117" customWidth="1"/>
    <col min="15128" max="15128" width="16" style="117" customWidth="1"/>
    <col min="15129" max="15129" width="10.26953125" style="117" customWidth="1"/>
    <col min="15130" max="15361" width="10.81640625" style="117"/>
    <col min="15362" max="15362" width="4" style="117" customWidth="1"/>
    <col min="15363" max="15363" width="17.54296875" style="117" customWidth="1"/>
    <col min="15364" max="15364" width="21.7265625" style="117" customWidth="1"/>
    <col min="15365" max="15365" width="23.81640625" style="117" customWidth="1"/>
    <col min="15366" max="15366" width="15.26953125" style="117" customWidth="1"/>
    <col min="15367" max="15378" width="5.7265625" style="117" customWidth="1"/>
    <col min="15379" max="15379" width="14.81640625" style="117" customWidth="1"/>
    <col min="15380" max="15380" width="17.26953125" style="117" customWidth="1"/>
    <col min="15381" max="15381" width="17.54296875" style="117" customWidth="1"/>
    <col min="15382" max="15382" width="14.81640625" style="117" customWidth="1"/>
    <col min="15383" max="15383" width="21.453125" style="117" customWidth="1"/>
    <col min="15384" max="15384" width="16" style="117" customWidth="1"/>
    <col min="15385" max="15385" width="10.26953125" style="117" customWidth="1"/>
    <col min="15386" max="15617" width="10.81640625" style="117"/>
    <col min="15618" max="15618" width="4" style="117" customWidth="1"/>
    <col min="15619" max="15619" width="17.54296875" style="117" customWidth="1"/>
    <col min="15620" max="15620" width="21.7265625" style="117" customWidth="1"/>
    <col min="15621" max="15621" width="23.81640625" style="117" customWidth="1"/>
    <col min="15622" max="15622" width="15.26953125" style="117" customWidth="1"/>
    <col min="15623" max="15634" width="5.7265625" style="117" customWidth="1"/>
    <col min="15635" max="15635" width="14.81640625" style="117" customWidth="1"/>
    <col min="15636" max="15636" width="17.26953125" style="117" customWidth="1"/>
    <col min="15637" max="15637" width="17.54296875" style="117" customWidth="1"/>
    <col min="15638" max="15638" width="14.81640625" style="117" customWidth="1"/>
    <col min="15639" max="15639" width="21.453125" style="117" customWidth="1"/>
    <col min="15640" max="15640" width="16" style="117" customWidth="1"/>
    <col min="15641" max="15641" width="10.26953125" style="117" customWidth="1"/>
    <col min="15642" max="15873" width="10.81640625" style="117"/>
    <col min="15874" max="15874" width="4" style="117" customWidth="1"/>
    <col min="15875" max="15875" width="17.54296875" style="117" customWidth="1"/>
    <col min="15876" max="15876" width="21.7265625" style="117" customWidth="1"/>
    <col min="15877" max="15877" width="23.81640625" style="117" customWidth="1"/>
    <col min="15878" max="15878" width="15.26953125" style="117" customWidth="1"/>
    <col min="15879" max="15890" width="5.7265625" style="117" customWidth="1"/>
    <col min="15891" max="15891" width="14.81640625" style="117" customWidth="1"/>
    <col min="15892" max="15892" width="17.26953125" style="117" customWidth="1"/>
    <col min="15893" max="15893" width="17.54296875" style="117" customWidth="1"/>
    <col min="15894" max="15894" width="14.81640625" style="117" customWidth="1"/>
    <col min="15895" max="15895" width="21.453125" style="117" customWidth="1"/>
    <col min="15896" max="15896" width="16" style="117" customWidth="1"/>
    <col min="15897" max="15897" width="10.26953125" style="117" customWidth="1"/>
    <col min="15898" max="16129" width="10.81640625" style="117"/>
    <col min="16130" max="16130" width="4" style="117" customWidth="1"/>
    <col min="16131" max="16131" width="17.54296875" style="117" customWidth="1"/>
    <col min="16132" max="16132" width="21.7265625" style="117" customWidth="1"/>
    <col min="16133" max="16133" width="23.81640625" style="117" customWidth="1"/>
    <col min="16134" max="16134" width="15.26953125" style="117" customWidth="1"/>
    <col min="16135" max="16146" width="5.7265625" style="117" customWidth="1"/>
    <col min="16147" max="16147" width="14.81640625" style="117" customWidth="1"/>
    <col min="16148" max="16148" width="17.26953125" style="117" customWidth="1"/>
    <col min="16149" max="16149" width="17.54296875" style="117" customWidth="1"/>
    <col min="16150" max="16150" width="14.81640625" style="117" customWidth="1"/>
    <col min="16151" max="16151" width="21.453125" style="117" customWidth="1"/>
    <col min="16152" max="16152" width="16" style="117" customWidth="1"/>
    <col min="16153" max="16153" width="10.26953125" style="117" customWidth="1"/>
    <col min="16154" max="16382" width="10.81640625" style="117"/>
    <col min="16383" max="16384" width="10.81640625" style="117" customWidth="1"/>
  </cols>
  <sheetData>
    <row r="1" spans="1:32" ht="25.5" customHeight="1">
      <c r="A1" s="518" t="s">
        <v>100</v>
      </c>
      <c r="B1" s="519"/>
      <c r="C1" s="519"/>
      <c r="D1" s="519"/>
      <c r="E1" s="519"/>
      <c r="F1" s="519"/>
      <c r="G1" s="519"/>
      <c r="H1" s="519"/>
      <c r="I1" s="519"/>
      <c r="J1" s="519"/>
      <c r="K1" s="519"/>
      <c r="L1" s="519"/>
      <c r="M1" s="519"/>
      <c r="N1" s="519"/>
      <c r="O1" s="519"/>
      <c r="P1" s="519"/>
      <c r="Q1" s="519"/>
      <c r="R1" s="519"/>
      <c r="S1" s="519"/>
      <c r="T1" s="519"/>
      <c r="U1" s="519"/>
      <c r="V1" s="519"/>
      <c r="W1" s="519"/>
      <c r="X1" s="519"/>
      <c r="Y1" s="519"/>
      <c r="Z1" s="520"/>
    </row>
    <row r="2" spans="1:32" ht="15.75" customHeight="1">
      <c r="A2" s="521"/>
      <c r="B2" s="522"/>
      <c r="C2" s="522"/>
      <c r="D2" s="522"/>
      <c r="E2" s="522"/>
      <c r="F2" s="522"/>
      <c r="G2" s="522"/>
      <c r="H2" s="522"/>
      <c r="I2" s="522"/>
      <c r="J2" s="522"/>
      <c r="K2" s="522"/>
      <c r="L2" s="522"/>
      <c r="M2" s="522"/>
      <c r="N2" s="522"/>
      <c r="O2" s="522"/>
      <c r="P2" s="522"/>
      <c r="Q2" s="522"/>
      <c r="R2" s="522"/>
      <c r="S2" s="522"/>
      <c r="T2" s="522"/>
      <c r="U2" s="522"/>
      <c r="V2" s="522"/>
      <c r="W2" s="522"/>
      <c r="X2" s="522"/>
      <c r="Y2" s="522"/>
      <c r="Z2" s="523"/>
    </row>
    <row r="3" spans="1:32" ht="21" customHeight="1" thickBot="1">
      <c r="A3" s="524"/>
      <c r="B3" s="525"/>
      <c r="C3" s="525"/>
      <c r="D3" s="525"/>
      <c r="E3" s="525"/>
      <c r="F3" s="525"/>
      <c r="G3" s="525"/>
      <c r="H3" s="525"/>
      <c r="I3" s="525"/>
      <c r="J3" s="525"/>
      <c r="K3" s="525"/>
      <c r="L3" s="525"/>
      <c r="M3" s="525"/>
      <c r="N3" s="525"/>
      <c r="O3" s="525"/>
      <c r="P3" s="525"/>
      <c r="Q3" s="525"/>
      <c r="R3" s="525"/>
      <c r="S3" s="525"/>
      <c r="T3" s="525"/>
      <c r="U3" s="525"/>
      <c r="V3" s="525"/>
      <c r="W3" s="525"/>
      <c r="X3" s="525"/>
      <c r="Y3" s="525"/>
      <c r="Z3" s="526"/>
    </row>
    <row r="4" spans="1:32" ht="6" customHeight="1">
      <c r="A4" s="123"/>
      <c r="B4" s="123"/>
      <c r="C4" s="123"/>
      <c r="D4" s="124"/>
      <c r="E4" s="124"/>
      <c r="F4" s="124"/>
      <c r="G4" s="124"/>
      <c r="H4" s="124"/>
      <c r="I4" s="124"/>
      <c r="J4" s="124"/>
      <c r="K4" s="124"/>
      <c r="L4" s="124"/>
      <c r="M4" s="124"/>
      <c r="N4" s="124"/>
      <c r="O4" s="124"/>
      <c r="P4" s="124"/>
      <c r="Q4" s="124"/>
      <c r="R4" s="124"/>
      <c r="S4" s="124"/>
      <c r="T4" s="124"/>
      <c r="U4" s="124"/>
      <c r="V4" s="124"/>
      <c r="W4" s="124"/>
      <c r="X4" s="124"/>
      <c r="Y4" s="124"/>
      <c r="Z4" s="124"/>
    </row>
    <row r="5" spans="1:32" ht="6" customHeight="1">
      <c r="A5" s="125"/>
      <c r="B5" s="125"/>
      <c r="C5" s="125"/>
      <c r="D5" s="125"/>
      <c r="E5" s="125"/>
      <c r="F5" s="125"/>
      <c r="G5" s="125"/>
      <c r="H5" s="125"/>
      <c r="I5" s="125"/>
      <c r="J5" s="125"/>
      <c r="K5" s="125"/>
      <c r="L5" s="125"/>
      <c r="M5" s="125"/>
      <c r="N5" s="125"/>
      <c r="O5" s="125"/>
      <c r="P5" s="125"/>
      <c r="Q5" s="125" t="s">
        <v>101</v>
      </c>
      <c r="R5" s="125"/>
      <c r="S5" s="125"/>
      <c r="T5" s="125"/>
      <c r="U5" s="125"/>
      <c r="V5" s="125"/>
      <c r="W5" s="125"/>
      <c r="X5" s="125"/>
      <c r="Y5" s="125"/>
      <c r="Z5" s="125"/>
    </row>
    <row r="6" spans="1:32" s="127" customFormat="1" ht="32.15" customHeight="1">
      <c r="A6" s="517" t="s">
        <v>102</v>
      </c>
      <c r="B6" s="517"/>
      <c r="C6" s="517"/>
      <c r="D6" s="527" t="s">
        <v>52</v>
      </c>
      <c r="E6" s="527"/>
      <c r="F6" s="527"/>
      <c r="G6" s="527"/>
      <c r="H6" s="527"/>
      <c r="I6" s="527"/>
      <c r="J6" s="527"/>
      <c r="K6" s="527"/>
      <c r="L6" s="527"/>
      <c r="M6" s="527"/>
      <c r="N6" s="527"/>
      <c r="O6" s="527"/>
      <c r="P6" s="527"/>
      <c r="Q6" s="527"/>
      <c r="R6" s="527"/>
      <c r="S6" s="527"/>
      <c r="T6" s="527"/>
      <c r="U6" s="527"/>
      <c r="V6" s="527"/>
      <c r="W6" s="527"/>
      <c r="X6" s="527"/>
      <c r="Y6" s="527"/>
      <c r="Z6" s="527"/>
      <c r="AA6" s="126"/>
      <c r="AB6" s="126"/>
      <c r="AC6" s="126"/>
      <c r="AD6" s="126"/>
      <c r="AE6" s="126"/>
      <c r="AF6" s="126"/>
    </row>
    <row r="7" spans="1:32" ht="57" customHeight="1">
      <c r="A7" s="517" t="s">
        <v>103</v>
      </c>
      <c r="B7" s="517"/>
      <c r="C7" s="517"/>
      <c r="D7" s="528" t="s">
        <v>104</v>
      </c>
      <c r="E7" s="528"/>
      <c r="F7" s="528"/>
      <c r="G7" s="528"/>
      <c r="H7" s="528"/>
      <c r="I7" s="528"/>
      <c r="J7" s="528"/>
      <c r="K7" s="528"/>
      <c r="L7" s="528"/>
      <c r="M7" s="528"/>
      <c r="N7" s="517" t="s">
        <v>105</v>
      </c>
      <c r="O7" s="517"/>
      <c r="P7" s="517"/>
      <c r="Q7" s="517"/>
      <c r="R7" s="517"/>
      <c r="S7" s="529"/>
      <c r="T7" s="530"/>
      <c r="U7" s="530"/>
      <c r="V7" s="530"/>
      <c r="W7" s="530"/>
      <c r="X7" s="530"/>
      <c r="Y7" s="530"/>
      <c r="Z7" s="531"/>
    </row>
    <row r="8" spans="1:32" ht="32.15" customHeight="1">
      <c r="A8" s="517" t="s">
        <v>106</v>
      </c>
      <c r="B8" s="517"/>
      <c r="C8" s="517"/>
      <c r="D8" s="528" t="s">
        <v>26</v>
      </c>
      <c r="E8" s="528"/>
      <c r="F8" s="528"/>
      <c r="G8" s="528"/>
      <c r="H8" s="528"/>
      <c r="I8" s="528"/>
      <c r="J8" s="528"/>
      <c r="K8" s="528"/>
      <c r="L8" s="528"/>
      <c r="M8" s="528"/>
      <c r="N8" s="517" t="s">
        <v>107</v>
      </c>
      <c r="O8" s="517"/>
      <c r="P8" s="517"/>
      <c r="Q8" s="517"/>
      <c r="R8" s="517"/>
      <c r="S8" s="514" t="s">
        <v>44</v>
      </c>
      <c r="T8" s="515"/>
      <c r="U8" s="515"/>
      <c r="V8" s="515"/>
      <c r="W8" s="515"/>
      <c r="X8" s="515"/>
      <c r="Y8" s="515"/>
      <c r="Z8" s="516"/>
    </row>
    <row r="9" spans="1:32" ht="32.15" customHeight="1">
      <c r="A9" s="517" t="s">
        <v>108</v>
      </c>
      <c r="B9" s="517"/>
      <c r="C9" s="517"/>
      <c r="D9" s="532" t="s">
        <v>109</v>
      </c>
      <c r="E9" s="532"/>
      <c r="F9" s="532"/>
      <c r="G9" s="532"/>
      <c r="H9" s="532"/>
      <c r="I9" s="532"/>
      <c r="J9" s="532"/>
      <c r="K9" s="532"/>
      <c r="L9" s="532"/>
      <c r="M9" s="532"/>
      <c r="N9" s="532"/>
      <c r="O9" s="532"/>
      <c r="P9" s="532"/>
      <c r="Q9" s="532"/>
      <c r="R9" s="532"/>
      <c r="S9" s="532"/>
      <c r="T9" s="532"/>
      <c r="U9" s="532"/>
      <c r="V9" s="532"/>
      <c r="W9" s="532"/>
      <c r="X9" s="532"/>
      <c r="Y9" s="532"/>
      <c r="Z9" s="532"/>
    </row>
    <row r="10" spans="1:32" ht="32.15" customHeight="1">
      <c r="A10" s="512" t="s">
        <v>110</v>
      </c>
      <c r="B10" s="512"/>
      <c r="C10" s="512"/>
      <c r="D10" s="513" t="s">
        <v>7</v>
      </c>
      <c r="E10" s="513"/>
      <c r="F10" s="513"/>
      <c r="G10" s="513"/>
      <c r="H10" s="513"/>
      <c r="I10" s="513"/>
      <c r="J10" s="513"/>
      <c r="K10" s="513"/>
      <c r="L10" s="513"/>
      <c r="M10" s="513"/>
      <c r="N10" s="512" t="s">
        <v>111</v>
      </c>
      <c r="O10" s="512"/>
      <c r="P10" s="512"/>
      <c r="Q10" s="512"/>
      <c r="R10" s="512"/>
      <c r="S10" s="514" t="s">
        <v>112</v>
      </c>
      <c r="T10" s="515"/>
      <c r="U10" s="515"/>
      <c r="V10" s="515"/>
      <c r="W10" s="515"/>
      <c r="X10" s="515"/>
      <c r="Y10" s="515"/>
      <c r="Z10" s="516"/>
    </row>
    <row r="11" spans="1:32" ht="22.5" customHeight="1">
      <c r="A11" s="511" t="s">
        <v>113</v>
      </c>
      <c r="B11" s="511" t="s">
        <v>114</v>
      </c>
      <c r="C11" s="511"/>
      <c r="D11" s="511" t="s">
        <v>115</v>
      </c>
      <c r="E11" s="511" t="s">
        <v>110</v>
      </c>
      <c r="F11" s="517" t="s">
        <v>116</v>
      </c>
      <c r="G11" s="517"/>
      <c r="H11" s="517"/>
      <c r="I11" s="517"/>
      <c r="J11" s="517"/>
      <c r="K11" s="517"/>
      <c r="L11" s="517"/>
      <c r="M11" s="517"/>
      <c r="N11" s="517"/>
      <c r="O11" s="517"/>
      <c r="P11" s="517"/>
      <c r="Q11" s="517"/>
      <c r="R11" s="511" t="s">
        <v>117</v>
      </c>
      <c r="S11" s="508" t="s">
        <v>118</v>
      </c>
      <c r="T11" s="509"/>
      <c r="U11" s="509"/>
      <c r="V11" s="510"/>
      <c r="W11" s="511" t="s">
        <v>119</v>
      </c>
      <c r="X11" s="511" t="s">
        <v>120</v>
      </c>
      <c r="Y11" s="511" t="s">
        <v>121</v>
      </c>
      <c r="Z11" s="511"/>
    </row>
    <row r="12" spans="1:32" ht="34.5" customHeight="1">
      <c r="A12" s="511"/>
      <c r="B12" s="511"/>
      <c r="C12" s="511"/>
      <c r="D12" s="511"/>
      <c r="E12" s="511"/>
      <c r="F12" s="128" t="s">
        <v>122</v>
      </c>
      <c r="G12" s="128" t="s">
        <v>123</v>
      </c>
      <c r="H12" s="128" t="s">
        <v>124</v>
      </c>
      <c r="I12" s="128" t="s">
        <v>125</v>
      </c>
      <c r="J12" s="128" t="s">
        <v>124</v>
      </c>
      <c r="K12" s="128" t="s">
        <v>126</v>
      </c>
      <c r="L12" s="128" t="s">
        <v>126</v>
      </c>
      <c r="M12" s="128" t="s">
        <v>125</v>
      </c>
      <c r="N12" s="128" t="s">
        <v>127</v>
      </c>
      <c r="O12" s="128" t="s">
        <v>128</v>
      </c>
      <c r="P12" s="128" t="s">
        <v>129</v>
      </c>
      <c r="Q12" s="128" t="s">
        <v>130</v>
      </c>
      <c r="R12" s="511"/>
      <c r="S12" s="128" t="s">
        <v>131</v>
      </c>
      <c r="T12" s="128" t="s">
        <v>132</v>
      </c>
      <c r="U12" s="128" t="s">
        <v>133</v>
      </c>
      <c r="V12" s="128" t="s">
        <v>134</v>
      </c>
      <c r="W12" s="511"/>
      <c r="X12" s="511"/>
      <c r="Y12" s="511"/>
      <c r="Z12" s="511"/>
    </row>
    <row r="13" spans="1:32" ht="35.15" customHeight="1">
      <c r="A13" s="505">
        <v>1</v>
      </c>
      <c r="B13" s="490" t="s">
        <v>135</v>
      </c>
      <c r="C13" s="491"/>
      <c r="D13" s="494" t="s">
        <v>136</v>
      </c>
      <c r="E13" s="494" t="s">
        <v>137</v>
      </c>
      <c r="F13" s="130" t="s">
        <v>138</v>
      </c>
      <c r="G13" s="130" t="s">
        <v>138</v>
      </c>
      <c r="H13" s="130" t="s">
        <v>138</v>
      </c>
      <c r="I13" s="130" t="s">
        <v>138</v>
      </c>
      <c r="J13" s="130" t="s">
        <v>138</v>
      </c>
      <c r="K13" s="130" t="s">
        <v>138</v>
      </c>
      <c r="L13" s="130" t="s">
        <v>138</v>
      </c>
      <c r="M13" s="130" t="s">
        <v>138</v>
      </c>
      <c r="N13" s="130" t="s">
        <v>138</v>
      </c>
      <c r="O13" s="130" t="s">
        <v>138</v>
      </c>
      <c r="P13" s="130" t="s">
        <v>138</v>
      </c>
      <c r="Q13" s="130" t="s">
        <v>138</v>
      </c>
      <c r="R13" s="496" t="s">
        <v>139</v>
      </c>
      <c r="S13" s="494">
        <f>COUNTIF(F13:Q13,"P")</f>
        <v>12</v>
      </c>
      <c r="T13" s="494">
        <f>COUNTIF(F13:Q13,"R")</f>
        <v>0</v>
      </c>
      <c r="U13" s="494">
        <f>COUNTIF(F14:Q14,"E")</f>
        <v>12</v>
      </c>
      <c r="V13" s="494">
        <f>COUNTIF(F14:Q14,"N")</f>
        <v>0</v>
      </c>
      <c r="W13" s="498">
        <f>U13/S13</f>
        <v>1</v>
      </c>
      <c r="X13" s="494"/>
      <c r="Y13" s="490"/>
      <c r="Z13" s="491"/>
    </row>
    <row r="14" spans="1:32" ht="61.5" customHeight="1">
      <c r="A14" s="506"/>
      <c r="B14" s="492"/>
      <c r="C14" s="493"/>
      <c r="D14" s="495"/>
      <c r="E14" s="495"/>
      <c r="F14" s="130" t="s">
        <v>122</v>
      </c>
      <c r="G14" s="130" t="s">
        <v>122</v>
      </c>
      <c r="H14" s="130" t="s">
        <v>122</v>
      </c>
      <c r="I14" s="130" t="s">
        <v>122</v>
      </c>
      <c r="J14" s="130" t="s">
        <v>122</v>
      </c>
      <c r="K14" s="130" t="s">
        <v>122</v>
      </c>
      <c r="L14" s="130" t="s">
        <v>122</v>
      </c>
      <c r="M14" s="130" t="s">
        <v>122</v>
      </c>
      <c r="N14" s="130" t="s">
        <v>122</v>
      </c>
      <c r="O14" s="130" t="s">
        <v>122</v>
      </c>
      <c r="P14" s="130" t="s">
        <v>122</v>
      </c>
      <c r="Q14" s="130" t="s">
        <v>122</v>
      </c>
      <c r="R14" s="497"/>
      <c r="S14" s="495"/>
      <c r="T14" s="495"/>
      <c r="U14" s="495"/>
      <c r="V14" s="495"/>
      <c r="W14" s="499"/>
      <c r="X14" s="495"/>
      <c r="Y14" s="492"/>
      <c r="Z14" s="493"/>
    </row>
    <row r="15" spans="1:32" ht="35.15" customHeight="1">
      <c r="A15" s="505">
        <v>2</v>
      </c>
      <c r="B15" s="490" t="s">
        <v>140</v>
      </c>
      <c r="C15" s="491"/>
      <c r="D15" s="494" t="s">
        <v>112</v>
      </c>
      <c r="E15" s="494" t="s">
        <v>7</v>
      </c>
      <c r="F15" s="130" t="s">
        <v>138</v>
      </c>
      <c r="G15" s="130" t="s">
        <v>138</v>
      </c>
      <c r="H15" s="130" t="s">
        <v>138</v>
      </c>
      <c r="I15" s="130" t="s">
        <v>138</v>
      </c>
      <c r="J15" s="130" t="s">
        <v>138</v>
      </c>
      <c r="K15" s="130" t="s">
        <v>138</v>
      </c>
      <c r="L15" s="130" t="s">
        <v>138</v>
      </c>
      <c r="M15" s="130" t="s">
        <v>138</v>
      </c>
      <c r="N15" s="130" t="s">
        <v>122</v>
      </c>
      <c r="O15" s="130" t="s">
        <v>138</v>
      </c>
      <c r="P15" s="130" t="s">
        <v>138</v>
      </c>
      <c r="Q15" s="130" t="s">
        <v>138</v>
      </c>
      <c r="R15" s="496" t="s">
        <v>44</v>
      </c>
      <c r="S15" s="494">
        <f>COUNTIF(F15:Q15,"P")</f>
        <v>11</v>
      </c>
      <c r="T15" s="494">
        <f>COUNTIF(F15:Q15,"R")</f>
        <v>0</v>
      </c>
      <c r="U15" s="494">
        <f>COUNTIF(F16:Q16,"E")</f>
        <v>12</v>
      </c>
      <c r="V15" s="494">
        <f>COUNTIF(F16:Q16,"N")</f>
        <v>0</v>
      </c>
      <c r="W15" s="498">
        <f t="shared" ref="W15" si="0">U15/S15</f>
        <v>1.0909090909090908</v>
      </c>
      <c r="X15" s="494"/>
      <c r="Y15" s="490"/>
      <c r="Z15" s="491"/>
    </row>
    <row r="16" spans="1:32" ht="35.15" customHeight="1">
      <c r="A16" s="506"/>
      <c r="B16" s="492"/>
      <c r="C16" s="493"/>
      <c r="D16" s="495"/>
      <c r="E16" s="495"/>
      <c r="F16" s="130" t="s">
        <v>122</v>
      </c>
      <c r="G16" s="130" t="s">
        <v>122</v>
      </c>
      <c r="H16" s="130" t="s">
        <v>122</v>
      </c>
      <c r="I16" s="130" t="s">
        <v>122</v>
      </c>
      <c r="J16" s="130" t="s">
        <v>122</v>
      </c>
      <c r="K16" s="130" t="s">
        <v>122</v>
      </c>
      <c r="L16" s="130" t="s">
        <v>122</v>
      </c>
      <c r="M16" s="130" t="s">
        <v>122</v>
      </c>
      <c r="N16" s="130" t="s">
        <v>122</v>
      </c>
      <c r="O16" s="130" t="s">
        <v>122</v>
      </c>
      <c r="P16" s="130" t="s">
        <v>122</v>
      </c>
      <c r="Q16" s="130" t="s">
        <v>122</v>
      </c>
      <c r="R16" s="497"/>
      <c r="S16" s="495"/>
      <c r="T16" s="495"/>
      <c r="U16" s="495"/>
      <c r="V16" s="495"/>
      <c r="W16" s="499"/>
      <c r="X16" s="495"/>
      <c r="Y16" s="492"/>
      <c r="Z16" s="493"/>
    </row>
    <row r="17" spans="1:26" ht="35.15" customHeight="1">
      <c r="A17" s="505">
        <v>3</v>
      </c>
      <c r="B17" s="490" t="s">
        <v>141</v>
      </c>
      <c r="C17" s="491"/>
      <c r="D17" s="494" t="s">
        <v>112</v>
      </c>
      <c r="E17" s="494" t="s">
        <v>7</v>
      </c>
      <c r="F17" s="130" t="s">
        <v>138</v>
      </c>
      <c r="G17" s="130" t="s">
        <v>138</v>
      </c>
      <c r="H17" s="130" t="s">
        <v>138</v>
      </c>
      <c r="I17" s="130" t="s">
        <v>138</v>
      </c>
      <c r="J17" s="130" t="s">
        <v>138</v>
      </c>
      <c r="K17" s="130" t="s">
        <v>138</v>
      </c>
      <c r="L17" s="130" t="s">
        <v>138</v>
      </c>
      <c r="M17" s="130" t="s">
        <v>138</v>
      </c>
      <c r="N17" s="130" t="s">
        <v>122</v>
      </c>
      <c r="O17" s="130" t="s">
        <v>138</v>
      </c>
      <c r="P17" s="130" t="s">
        <v>138</v>
      </c>
      <c r="Q17" s="130" t="s">
        <v>138</v>
      </c>
      <c r="R17" s="496" t="s">
        <v>44</v>
      </c>
      <c r="S17" s="494">
        <f t="shared" ref="S17" si="1">COUNTIF(F17:Q17,"P")</f>
        <v>11</v>
      </c>
      <c r="T17" s="494">
        <f t="shared" ref="T17" si="2">COUNTIF(F17:Q17,"R")</f>
        <v>0</v>
      </c>
      <c r="U17" s="494">
        <f t="shared" ref="U17" si="3">COUNTIF(F18:Q18,"E")</f>
        <v>12</v>
      </c>
      <c r="V17" s="494">
        <f t="shared" ref="V17" si="4">COUNTIF(F18:Q18,"N")</f>
        <v>0</v>
      </c>
      <c r="W17" s="498">
        <f t="shared" ref="W17" si="5">U17/S17</f>
        <v>1.0909090909090908</v>
      </c>
      <c r="X17" s="494"/>
      <c r="Y17" s="490"/>
      <c r="Z17" s="491"/>
    </row>
    <row r="18" spans="1:26" ht="35.15" customHeight="1">
      <c r="A18" s="506"/>
      <c r="B18" s="492"/>
      <c r="C18" s="493"/>
      <c r="D18" s="495"/>
      <c r="E18" s="495"/>
      <c r="F18" s="130" t="s">
        <v>122</v>
      </c>
      <c r="G18" s="130" t="s">
        <v>122</v>
      </c>
      <c r="H18" s="130" t="s">
        <v>122</v>
      </c>
      <c r="I18" s="130" t="s">
        <v>122</v>
      </c>
      <c r="J18" s="130" t="s">
        <v>122</v>
      </c>
      <c r="K18" s="130" t="s">
        <v>122</v>
      </c>
      <c r="L18" s="130" t="s">
        <v>122</v>
      </c>
      <c r="M18" s="130" t="s">
        <v>122</v>
      </c>
      <c r="N18" s="130" t="s">
        <v>122</v>
      </c>
      <c r="O18" s="130" t="s">
        <v>122</v>
      </c>
      <c r="P18" s="130" t="s">
        <v>122</v>
      </c>
      <c r="Q18" s="130" t="s">
        <v>122</v>
      </c>
      <c r="R18" s="497"/>
      <c r="S18" s="495"/>
      <c r="T18" s="495"/>
      <c r="U18" s="495"/>
      <c r="V18" s="495"/>
      <c r="W18" s="499"/>
      <c r="X18" s="495"/>
      <c r="Y18" s="492"/>
      <c r="Z18" s="493"/>
    </row>
    <row r="19" spans="1:26" ht="35.15" customHeight="1">
      <c r="A19" s="505">
        <v>4</v>
      </c>
      <c r="B19" s="490" t="s">
        <v>142</v>
      </c>
      <c r="C19" s="491"/>
      <c r="D19" s="494" t="s">
        <v>112</v>
      </c>
      <c r="E19" s="494" t="s">
        <v>7</v>
      </c>
      <c r="F19" s="130" t="s">
        <v>138</v>
      </c>
      <c r="G19" s="130" t="s">
        <v>138</v>
      </c>
      <c r="H19" s="130" t="s">
        <v>138</v>
      </c>
      <c r="I19" s="130" t="s">
        <v>138</v>
      </c>
      <c r="J19" s="130" t="s">
        <v>138</v>
      </c>
      <c r="K19" s="130" t="s">
        <v>138</v>
      </c>
      <c r="L19" s="130" t="s">
        <v>138</v>
      </c>
      <c r="M19" s="130" t="s">
        <v>138</v>
      </c>
      <c r="N19" s="130" t="s">
        <v>122</v>
      </c>
      <c r="O19" s="130" t="s">
        <v>138</v>
      </c>
      <c r="P19" s="130" t="s">
        <v>138</v>
      </c>
      <c r="Q19" s="130" t="s">
        <v>138</v>
      </c>
      <c r="R19" s="496" t="s">
        <v>139</v>
      </c>
      <c r="S19" s="494">
        <f t="shared" ref="S19" si="6">COUNTIF(F19:Q19,"P")</f>
        <v>11</v>
      </c>
      <c r="T19" s="494">
        <f t="shared" ref="T19" si="7">COUNTIF(F19:Q19,"R")</f>
        <v>0</v>
      </c>
      <c r="U19" s="494">
        <f t="shared" ref="U19" si="8">COUNTIF(F20:Q20,"E")</f>
        <v>12</v>
      </c>
      <c r="V19" s="494">
        <f t="shared" ref="V19" si="9">COUNTIF(F20:Q20,"N")</f>
        <v>0</v>
      </c>
      <c r="W19" s="498">
        <f t="shared" ref="W19" si="10">U19/S19</f>
        <v>1.0909090909090908</v>
      </c>
      <c r="X19" s="494"/>
      <c r="Y19" s="142"/>
      <c r="Z19" s="143"/>
    </row>
    <row r="20" spans="1:26" ht="35.15" customHeight="1">
      <c r="A20" s="506"/>
      <c r="B20" s="492"/>
      <c r="C20" s="493"/>
      <c r="D20" s="495"/>
      <c r="E20" s="495"/>
      <c r="F20" s="130" t="s">
        <v>122</v>
      </c>
      <c r="G20" s="130" t="s">
        <v>122</v>
      </c>
      <c r="H20" s="130" t="s">
        <v>122</v>
      </c>
      <c r="I20" s="130" t="s">
        <v>122</v>
      </c>
      <c r="J20" s="130" t="s">
        <v>122</v>
      </c>
      <c r="K20" s="130" t="s">
        <v>122</v>
      </c>
      <c r="L20" s="130" t="s">
        <v>122</v>
      </c>
      <c r="M20" s="130" t="s">
        <v>122</v>
      </c>
      <c r="N20" s="130" t="s">
        <v>122</v>
      </c>
      <c r="O20" s="130" t="s">
        <v>122</v>
      </c>
      <c r="P20" s="130" t="s">
        <v>122</v>
      </c>
      <c r="Q20" s="130" t="s">
        <v>122</v>
      </c>
      <c r="R20" s="497"/>
      <c r="S20" s="495"/>
      <c r="T20" s="495"/>
      <c r="U20" s="495"/>
      <c r="V20" s="495"/>
      <c r="W20" s="499"/>
      <c r="X20" s="495"/>
      <c r="Y20" s="142"/>
      <c r="Z20" s="143"/>
    </row>
    <row r="21" spans="1:26" ht="35.15" customHeight="1">
      <c r="A21" s="505">
        <v>5</v>
      </c>
      <c r="B21" s="490" t="s">
        <v>143</v>
      </c>
      <c r="C21" s="491"/>
      <c r="D21" s="494" t="s">
        <v>112</v>
      </c>
      <c r="E21" s="494" t="s">
        <v>7</v>
      </c>
      <c r="F21" s="130" t="s">
        <v>138</v>
      </c>
      <c r="G21" s="130" t="s">
        <v>138</v>
      </c>
      <c r="H21" s="130" t="s">
        <v>138</v>
      </c>
      <c r="I21" s="130" t="s">
        <v>138</v>
      </c>
      <c r="J21" s="130" t="s">
        <v>138</v>
      </c>
      <c r="K21" s="130" t="s">
        <v>138</v>
      </c>
      <c r="L21" s="130" t="s">
        <v>138</v>
      </c>
      <c r="M21" s="130" t="s">
        <v>138</v>
      </c>
      <c r="N21" s="130" t="s">
        <v>122</v>
      </c>
      <c r="O21" s="130" t="s">
        <v>138</v>
      </c>
      <c r="P21" s="130" t="s">
        <v>138</v>
      </c>
      <c r="Q21" s="130" t="s">
        <v>138</v>
      </c>
      <c r="R21" s="496" t="s">
        <v>44</v>
      </c>
      <c r="S21" s="494">
        <f t="shared" ref="S21" si="11">COUNTIF(F21:Q21,"P")</f>
        <v>11</v>
      </c>
      <c r="T21" s="494">
        <f t="shared" ref="T21" si="12">COUNTIF(F21:Q21,"R")</f>
        <v>0</v>
      </c>
      <c r="U21" s="494">
        <f t="shared" ref="U21" si="13">COUNTIF(F22:Q22,"E")</f>
        <v>12</v>
      </c>
      <c r="V21" s="494">
        <f t="shared" ref="V21" si="14">COUNTIF(F22:Q22,"N")</f>
        <v>0</v>
      </c>
      <c r="W21" s="498">
        <f t="shared" ref="W21" si="15">U21/S21</f>
        <v>1.0909090909090908</v>
      </c>
      <c r="X21" s="494"/>
      <c r="Y21" s="490"/>
      <c r="Z21" s="491"/>
    </row>
    <row r="22" spans="1:26" ht="35.15" customHeight="1">
      <c r="A22" s="506"/>
      <c r="B22" s="492"/>
      <c r="C22" s="493"/>
      <c r="D22" s="495"/>
      <c r="E22" s="495"/>
      <c r="F22" s="130" t="s">
        <v>122</v>
      </c>
      <c r="G22" s="130" t="s">
        <v>122</v>
      </c>
      <c r="H22" s="130" t="s">
        <v>122</v>
      </c>
      <c r="I22" s="130" t="s">
        <v>122</v>
      </c>
      <c r="J22" s="130" t="s">
        <v>122</v>
      </c>
      <c r="K22" s="130" t="s">
        <v>122</v>
      </c>
      <c r="L22" s="130" t="s">
        <v>122</v>
      </c>
      <c r="M22" s="130" t="s">
        <v>122</v>
      </c>
      <c r="N22" s="130" t="s">
        <v>122</v>
      </c>
      <c r="O22" s="130" t="s">
        <v>122</v>
      </c>
      <c r="P22" s="130" t="s">
        <v>122</v>
      </c>
      <c r="Q22" s="130" t="s">
        <v>122</v>
      </c>
      <c r="R22" s="497"/>
      <c r="S22" s="495"/>
      <c r="T22" s="495"/>
      <c r="U22" s="495"/>
      <c r="V22" s="495"/>
      <c r="W22" s="499"/>
      <c r="X22" s="495"/>
      <c r="Y22" s="492"/>
      <c r="Z22" s="493"/>
    </row>
    <row r="23" spans="1:26" ht="35.15" hidden="1" customHeight="1">
      <c r="A23" s="505">
        <v>5</v>
      </c>
      <c r="B23" s="490"/>
      <c r="C23" s="491"/>
      <c r="D23" s="494"/>
      <c r="E23" s="494"/>
      <c r="F23" s="129"/>
      <c r="G23" s="130"/>
      <c r="H23" s="130"/>
      <c r="I23" s="130"/>
      <c r="J23" s="130"/>
      <c r="K23" s="130"/>
      <c r="L23" s="130"/>
      <c r="M23" s="130"/>
      <c r="N23" s="130"/>
      <c r="O23" s="130"/>
      <c r="P23" s="130"/>
      <c r="Q23" s="130"/>
      <c r="R23" s="507" t="s">
        <v>44</v>
      </c>
      <c r="S23" s="504">
        <f t="shared" ref="S23" si="16">COUNTIF(F23:Q23,"P")</f>
        <v>0</v>
      </c>
      <c r="T23" s="504">
        <f t="shared" ref="T23" si="17">COUNTIF(F23:Q23,"R")</f>
        <v>0</v>
      </c>
      <c r="U23" s="504">
        <f t="shared" ref="U23" si="18">COUNTIF(F24:Q24,"E")</f>
        <v>0</v>
      </c>
      <c r="V23" s="504">
        <f t="shared" ref="V23" si="19">COUNTIF(F24:Q24,"N")</f>
        <v>0</v>
      </c>
      <c r="W23" s="498" t="e">
        <f t="shared" ref="W23" si="20">U23/S23</f>
        <v>#DIV/0!</v>
      </c>
      <c r="X23" s="494"/>
      <c r="Y23" s="490"/>
      <c r="Z23" s="491"/>
    </row>
    <row r="24" spans="1:26" ht="35.15" hidden="1" customHeight="1">
      <c r="A24" s="506"/>
      <c r="B24" s="492"/>
      <c r="C24" s="493"/>
      <c r="D24" s="495"/>
      <c r="E24" s="495"/>
      <c r="F24" s="129"/>
      <c r="G24" s="130"/>
      <c r="H24" s="130"/>
      <c r="I24" s="130"/>
      <c r="J24" s="130"/>
      <c r="K24" s="130"/>
      <c r="L24" s="130"/>
      <c r="M24" s="130"/>
      <c r="N24" s="130"/>
      <c r="O24" s="130"/>
      <c r="P24" s="130"/>
      <c r="Q24" s="130"/>
      <c r="R24" s="507"/>
      <c r="S24" s="504"/>
      <c r="T24" s="504"/>
      <c r="U24" s="504"/>
      <c r="V24" s="504"/>
      <c r="W24" s="499"/>
      <c r="X24" s="495"/>
      <c r="Y24" s="492"/>
      <c r="Z24" s="493"/>
    </row>
    <row r="25" spans="1:26" ht="23.25" customHeight="1">
      <c r="A25" s="131"/>
      <c r="B25" s="132"/>
      <c r="C25" s="132"/>
      <c r="D25" s="132"/>
      <c r="E25" s="132"/>
      <c r="F25" s="133"/>
      <c r="G25" s="133"/>
      <c r="H25" s="133"/>
      <c r="I25" s="133"/>
      <c r="J25" s="133"/>
      <c r="K25" s="133"/>
      <c r="L25" s="133"/>
      <c r="M25" s="133"/>
      <c r="N25" s="133"/>
      <c r="O25" s="132"/>
      <c r="P25" s="132"/>
      <c r="Q25" s="132"/>
      <c r="R25" s="134"/>
      <c r="S25" s="134"/>
      <c r="T25" s="134"/>
      <c r="U25" s="500" t="s">
        <v>144</v>
      </c>
      <c r="V25" s="500"/>
      <c r="W25" s="135">
        <f>AVERAGE(W13:W15)</f>
        <v>1.0454545454545454</v>
      </c>
      <c r="X25" s="132"/>
      <c r="Y25" s="132"/>
      <c r="Z25" s="132"/>
    </row>
    <row r="26" spans="1:26" ht="37.5" customHeight="1">
      <c r="A26" s="136"/>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row>
    <row r="27" spans="1:26" ht="33" customHeight="1">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8.75" customHeight="1">
      <c r="A28" s="501"/>
      <c r="B28" s="502"/>
      <c r="C28" s="502"/>
      <c r="D28" s="502"/>
      <c r="E28" s="502"/>
      <c r="F28" s="502"/>
      <c r="G28" s="502"/>
      <c r="H28" s="502"/>
      <c r="I28" s="502"/>
      <c r="J28" s="502"/>
      <c r="K28" s="502"/>
      <c r="L28" s="502"/>
      <c r="M28" s="502"/>
      <c r="N28" s="502"/>
      <c r="O28" s="502"/>
      <c r="P28" s="502"/>
      <c r="Q28" s="502"/>
      <c r="R28" s="502"/>
      <c r="S28" s="502"/>
      <c r="T28" s="502"/>
      <c r="U28" s="502"/>
      <c r="V28" s="502"/>
      <c r="W28" s="502"/>
      <c r="X28" s="502"/>
      <c r="Y28" s="502"/>
      <c r="Z28" s="503"/>
    </row>
  </sheetData>
  <mergeCells count="100">
    <mergeCell ref="A8:C8"/>
    <mergeCell ref="D8:M8"/>
    <mergeCell ref="N8:R8"/>
    <mergeCell ref="S8:Z8"/>
    <mergeCell ref="A9:C9"/>
    <mergeCell ref="D9:Z9"/>
    <mergeCell ref="A1:Z3"/>
    <mergeCell ref="A6:C6"/>
    <mergeCell ref="D6:Z6"/>
    <mergeCell ref="A7:C7"/>
    <mergeCell ref="D7:M7"/>
    <mergeCell ref="N7:R7"/>
    <mergeCell ref="S7:Z7"/>
    <mergeCell ref="A13:A14"/>
    <mergeCell ref="B13:C14"/>
    <mergeCell ref="D13:D14"/>
    <mergeCell ref="E13:E14"/>
    <mergeCell ref="R13:R14"/>
    <mergeCell ref="A10:C10"/>
    <mergeCell ref="D10:M10"/>
    <mergeCell ref="N10:R10"/>
    <mergeCell ref="S10:Z10"/>
    <mergeCell ref="A11:A12"/>
    <mergeCell ref="B11:C12"/>
    <mergeCell ref="D11:D12"/>
    <mergeCell ref="E11:E12"/>
    <mergeCell ref="F11:Q11"/>
    <mergeCell ref="R11:R12"/>
    <mergeCell ref="Y13:Z14"/>
    <mergeCell ref="S11:V11"/>
    <mergeCell ref="W11:W12"/>
    <mergeCell ref="X11:X12"/>
    <mergeCell ref="Y11:Z12"/>
    <mergeCell ref="S13:S14"/>
    <mergeCell ref="T13:T14"/>
    <mergeCell ref="U13:U14"/>
    <mergeCell ref="V13:V14"/>
    <mergeCell ref="W13:W14"/>
    <mergeCell ref="X13:X14"/>
    <mergeCell ref="Y15:Z16"/>
    <mergeCell ref="A15:A16"/>
    <mergeCell ref="B15:C16"/>
    <mergeCell ref="D15:D16"/>
    <mergeCell ref="E15:E16"/>
    <mergeCell ref="R15:R16"/>
    <mergeCell ref="S15:S16"/>
    <mergeCell ref="T15:T16"/>
    <mergeCell ref="U15:U16"/>
    <mergeCell ref="V15:V16"/>
    <mergeCell ref="W15:W16"/>
    <mergeCell ref="X15:X16"/>
    <mergeCell ref="A17:A18"/>
    <mergeCell ref="Y21:Z22"/>
    <mergeCell ref="A21:A22"/>
    <mergeCell ref="B21:C22"/>
    <mergeCell ref="D21:D22"/>
    <mergeCell ref="E21:E22"/>
    <mergeCell ref="R21:R22"/>
    <mergeCell ref="S21:S22"/>
    <mergeCell ref="T21:T22"/>
    <mergeCell ref="U21:U22"/>
    <mergeCell ref="V21:V22"/>
    <mergeCell ref="W21:W22"/>
    <mergeCell ref="X21:X22"/>
    <mergeCell ref="A19:A20"/>
    <mergeCell ref="X17:X18"/>
    <mergeCell ref="Y17:Z18"/>
    <mergeCell ref="U25:V25"/>
    <mergeCell ref="A28:Z28"/>
    <mergeCell ref="T23:T24"/>
    <mergeCell ref="U23:U24"/>
    <mergeCell ref="V23:V24"/>
    <mergeCell ref="W23:W24"/>
    <mergeCell ref="X23:X24"/>
    <mergeCell ref="Y23:Z24"/>
    <mergeCell ref="A23:A24"/>
    <mergeCell ref="B23:C24"/>
    <mergeCell ref="D23:D24"/>
    <mergeCell ref="E23:E24"/>
    <mergeCell ref="R23:R24"/>
    <mergeCell ref="S23:S24"/>
    <mergeCell ref="X19:X20"/>
    <mergeCell ref="B19:C20"/>
    <mergeCell ref="D19:D20"/>
    <mergeCell ref="E19:E20"/>
    <mergeCell ref="R19:R20"/>
    <mergeCell ref="S19:S20"/>
    <mergeCell ref="T17:T18"/>
    <mergeCell ref="U17:U18"/>
    <mergeCell ref="V17:V18"/>
    <mergeCell ref="W17:W18"/>
    <mergeCell ref="T19:T20"/>
    <mergeCell ref="U19:U20"/>
    <mergeCell ref="V19:V20"/>
    <mergeCell ref="W19:W20"/>
    <mergeCell ref="B17:C18"/>
    <mergeCell ref="D17:D18"/>
    <mergeCell ref="E17:E18"/>
    <mergeCell ref="R17:R18"/>
    <mergeCell ref="S17:S18"/>
  </mergeCells>
  <conditionalFormatting sqref="F13:Q22">
    <cfRule type="containsText" dxfId="18" priority="100" operator="containsText" text="N">
      <formula>NOT(ISERROR(SEARCH("N",F13)))</formula>
    </cfRule>
    <cfRule type="containsText" dxfId="17" priority="101" operator="containsText" text="R">
      <formula>NOT(ISERROR(SEARCH("R",F13)))</formula>
    </cfRule>
    <cfRule type="containsText" dxfId="16" priority="102" operator="containsText" text="E">
      <formula>NOT(ISERROR(SEARCH("E",F13)))</formula>
    </cfRule>
    <cfRule type="containsText" dxfId="15" priority="103" operator="containsText" text="P">
      <formula>NOT(ISERROR(SEARCH("P",F13)))</formula>
    </cfRule>
    <cfRule type="cellIs" dxfId="14" priority="104" operator="equal">
      <formula>2</formula>
    </cfRule>
    <cfRule type="cellIs" dxfId="13" priority="105" operator="equal">
      <formula>1</formula>
    </cfRule>
    <cfRule type="cellIs" dxfId="12" priority="106" operator="equal">
      <formula>1</formula>
    </cfRule>
    <cfRule type="cellIs" dxfId="11" priority="107" operator="equal">
      <formula>1</formula>
    </cfRule>
  </conditionalFormatting>
  <conditionalFormatting sqref="G23:Q24">
    <cfRule type="containsText" dxfId="10" priority="84" operator="containsText" text="N">
      <formula>NOT(ISERROR(SEARCH("N",G23)))</formula>
    </cfRule>
    <cfRule type="containsText" dxfId="9" priority="85" operator="containsText" text="R">
      <formula>NOT(ISERROR(SEARCH("R",G23)))</formula>
    </cfRule>
    <cfRule type="containsText" dxfId="8" priority="86" operator="containsText" text="E">
      <formula>NOT(ISERROR(SEARCH("E",G23)))</formula>
    </cfRule>
    <cfRule type="containsText" dxfId="7" priority="87" operator="containsText" text="P">
      <formula>NOT(ISERROR(SEARCH("P",G23)))</formula>
    </cfRule>
    <cfRule type="cellIs" dxfId="6" priority="88" operator="equal">
      <formula>2</formula>
    </cfRule>
    <cfRule type="cellIs" dxfId="5" priority="89" operator="equal">
      <formula>1</formula>
    </cfRule>
    <cfRule type="cellIs" dxfId="4" priority="90" operator="equal">
      <formula>1</formula>
    </cfRule>
    <cfRule type="cellIs" dxfId="3" priority="91" operator="equal">
      <formula>1</formula>
    </cfRule>
  </conditionalFormatting>
  <conditionalFormatting sqref="X13:X22">
    <cfRule type="containsText" dxfId="2" priority="1" operator="containsText" text="Realizado">
      <formula>NOT(ISERROR(SEARCH("Realizado",X13)))</formula>
    </cfRule>
    <cfRule type="containsText" dxfId="1" priority="2" operator="containsText" text="En Proceso">
      <formula>NOT(ISERROR(SEARCH("En Proceso",X13)))</formula>
    </cfRule>
    <cfRule type="containsText" dxfId="0" priority="3" operator="containsText" text="Pendiente">
      <formula>NOT(ISERROR(SEARCH("Pendiente",X13)))</formula>
    </cfRule>
  </conditionalFormatting>
  <dataValidations count="3">
    <dataValidation type="list" allowBlank="1" showInputMessage="1" showErrorMessage="1" sqref="WWD983060:WWD983064 BQT13:BQT24 CAP13:CAP24 CKL13:CKL24 CUH13:CUH24 DED13:DED24 DNZ13:DNZ24 DXV13:DXV24 EHR13:EHR24 ERN13:ERN24 FBJ13:FBJ24 FLF13:FLF24 FVB13:FVB24 GEX13:GEX24 GOT13:GOT24 GYP13:GYP24 HIL13:HIL24 HSH13:HSH24 ICD13:ICD24 ILZ13:ILZ24 IVV13:IVV24 JFR13:JFR24 JPN13:JPN24 JZJ13:JZJ24 KJF13:KJF24 KTB13:KTB24 LCX13:LCX24 LMT13:LMT24 LWP13:LWP24 MGL13:MGL24 MQH13:MQH24 NAD13:NAD24 NJZ13:NJZ24 NTV13:NTV24 ODR13:ODR24 ONN13:ONN24 OXJ13:OXJ24 PHF13:PHF24 PRB13:PRB24 QAX13:QAX24 QKT13:QKT24 QUP13:QUP24 REL13:REL24 ROH13:ROH24 RYD13:RYD24 SHZ13:SHZ24 SRV13:SRV24 TBR13:TBR24 TLN13:TLN24 TVJ13:TVJ24 UFF13:UFF24 UPB13:UPB24 UYX13:UYX24 VIT13:VIT24 VSP13:VSP24 WCL13:WCL24 WMH13:WMH24 WWD13:WWD24 JR13:JR24 ADJ13:ADJ24 ANF13:ANF24 AXB13:AXB24 BGX13:BGX24 TN13:TN24 X23 X65556:X65560 JR65556:JR65560 TN65556:TN65560 ADJ65556:ADJ65560 ANF65556:ANF65560 AXB65556:AXB65560 BGX65556:BGX65560 BQT65556:BQT65560 CAP65556:CAP65560 CKL65556:CKL65560 CUH65556:CUH65560 DED65556:DED65560 DNZ65556:DNZ65560 DXV65556:DXV65560 EHR65556:EHR65560 ERN65556:ERN65560 FBJ65556:FBJ65560 FLF65556:FLF65560 FVB65556:FVB65560 GEX65556:GEX65560 GOT65556:GOT65560 GYP65556:GYP65560 HIL65556:HIL65560 HSH65556:HSH65560 ICD65556:ICD65560 ILZ65556:ILZ65560 IVV65556:IVV65560 JFR65556:JFR65560 JPN65556:JPN65560 JZJ65556:JZJ65560 KJF65556:KJF65560 KTB65556:KTB65560 LCX65556:LCX65560 LMT65556:LMT65560 LWP65556:LWP65560 MGL65556:MGL65560 MQH65556:MQH65560 NAD65556:NAD65560 NJZ65556:NJZ65560 NTV65556:NTV65560 ODR65556:ODR65560 ONN65556:ONN65560 OXJ65556:OXJ65560 PHF65556:PHF65560 PRB65556:PRB65560 QAX65556:QAX65560 QKT65556:QKT65560 QUP65556:QUP65560 REL65556:REL65560 ROH65556:ROH65560 RYD65556:RYD65560 SHZ65556:SHZ65560 SRV65556:SRV65560 TBR65556:TBR65560 TLN65556:TLN65560 TVJ65556:TVJ65560 UFF65556:UFF65560 UPB65556:UPB65560 UYX65556:UYX65560 VIT65556:VIT65560 VSP65556:VSP65560 WCL65556:WCL65560 WMH65556:WMH65560 WWD65556:WWD65560 X131092:X131096 JR131092:JR131096 TN131092:TN131096 ADJ131092:ADJ131096 ANF131092:ANF131096 AXB131092:AXB131096 BGX131092:BGX131096 BQT131092:BQT131096 CAP131092:CAP131096 CKL131092:CKL131096 CUH131092:CUH131096 DED131092:DED131096 DNZ131092:DNZ131096 DXV131092:DXV131096 EHR131092:EHR131096 ERN131092:ERN131096 FBJ131092:FBJ131096 FLF131092:FLF131096 FVB131092:FVB131096 GEX131092:GEX131096 GOT131092:GOT131096 GYP131092:GYP131096 HIL131092:HIL131096 HSH131092:HSH131096 ICD131092:ICD131096 ILZ131092:ILZ131096 IVV131092:IVV131096 JFR131092:JFR131096 JPN131092:JPN131096 JZJ131092:JZJ131096 KJF131092:KJF131096 KTB131092:KTB131096 LCX131092:LCX131096 LMT131092:LMT131096 LWP131092:LWP131096 MGL131092:MGL131096 MQH131092:MQH131096 NAD131092:NAD131096 NJZ131092:NJZ131096 NTV131092:NTV131096 ODR131092:ODR131096 ONN131092:ONN131096 OXJ131092:OXJ131096 PHF131092:PHF131096 PRB131092:PRB131096 QAX131092:QAX131096 QKT131092:QKT131096 QUP131092:QUP131096 REL131092:REL131096 ROH131092:ROH131096 RYD131092:RYD131096 SHZ131092:SHZ131096 SRV131092:SRV131096 TBR131092:TBR131096 TLN131092:TLN131096 TVJ131092:TVJ131096 UFF131092:UFF131096 UPB131092:UPB131096 UYX131092:UYX131096 VIT131092:VIT131096 VSP131092:VSP131096 WCL131092:WCL131096 WMH131092:WMH131096 WWD131092:WWD131096 X196628:X196632 JR196628:JR196632 TN196628:TN196632 ADJ196628:ADJ196632 ANF196628:ANF196632 AXB196628:AXB196632 BGX196628:BGX196632 BQT196628:BQT196632 CAP196628:CAP196632 CKL196628:CKL196632 CUH196628:CUH196632 DED196628:DED196632 DNZ196628:DNZ196632 DXV196628:DXV196632 EHR196628:EHR196632 ERN196628:ERN196632 FBJ196628:FBJ196632 FLF196628:FLF196632 FVB196628:FVB196632 GEX196628:GEX196632 GOT196628:GOT196632 GYP196628:GYP196632 HIL196628:HIL196632 HSH196628:HSH196632 ICD196628:ICD196632 ILZ196628:ILZ196632 IVV196628:IVV196632 JFR196628:JFR196632 JPN196628:JPN196632 JZJ196628:JZJ196632 KJF196628:KJF196632 KTB196628:KTB196632 LCX196628:LCX196632 LMT196628:LMT196632 LWP196628:LWP196632 MGL196628:MGL196632 MQH196628:MQH196632 NAD196628:NAD196632 NJZ196628:NJZ196632 NTV196628:NTV196632 ODR196628:ODR196632 ONN196628:ONN196632 OXJ196628:OXJ196632 PHF196628:PHF196632 PRB196628:PRB196632 QAX196628:QAX196632 QKT196628:QKT196632 QUP196628:QUP196632 REL196628:REL196632 ROH196628:ROH196632 RYD196628:RYD196632 SHZ196628:SHZ196632 SRV196628:SRV196632 TBR196628:TBR196632 TLN196628:TLN196632 TVJ196628:TVJ196632 UFF196628:UFF196632 UPB196628:UPB196632 UYX196628:UYX196632 VIT196628:VIT196632 VSP196628:VSP196632 WCL196628:WCL196632 WMH196628:WMH196632 WWD196628:WWD196632 X262164:X262168 JR262164:JR262168 TN262164:TN262168 ADJ262164:ADJ262168 ANF262164:ANF262168 AXB262164:AXB262168 BGX262164:BGX262168 BQT262164:BQT262168 CAP262164:CAP262168 CKL262164:CKL262168 CUH262164:CUH262168 DED262164:DED262168 DNZ262164:DNZ262168 DXV262164:DXV262168 EHR262164:EHR262168 ERN262164:ERN262168 FBJ262164:FBJ262168 FLF262164:FLF262168 FVB262164:FVB262168 GEX262164:GEX262168 GOT262164:GOT262168 GYP262164:GYP262168 HIL262164:HIL262168 HSH262164:HSH262168 ICD262164:ICD262168 ILZ262164:ILZ262168 IVV262164:IVV262168 JFR262164:JFR262168 JPN262164:JPN262168 JZJ262164:JZJ262168 KJF262164:KJF262168 KTB262164:KTB262168 LCX262164:LCX262168 LMT262164:LMT262168 LWP262164:LWP262168 MGL262164:MGL262168 MQH262164:MQH262168 NAD262164:NAD262168 NJZ262164:NJZ262168 NTV262164:NTV262168 ODR262164:ODR262168 ONN262164:ONN262168 OXJ262164:OXJ262168 PHF262164:PHF262168 PRB262164:PRB262168 QAX262164:QAX262168 QKT262164:QKT262168 QUP262164:QUP262168 REL262164:REL262168 ROH262164:ROH262168 RYD262164:RYD262168 SHZ262164:SHZ262168 SRV262164:SRV262168 TBR262164:TBR262168 TLN262164:TLN262168 TVJ262164:TVJ262168 UFF262164:UFF262168 UPB262164:UPB262168 UYX262164:UYX262168 VIT262164:VIT262168 VSP262164:VSP262168 WCL262164:WCL262168 WMH262164:WMH262168 WWD262164:WWD262168 X327700:X327704 JR327700:JR327704 TN327700:TN327704 ADJ327700:ADJ327704 ANF327700:ANF327704 AXB327700:AXB327704 BGX327700:BGX327704 BQT327700:BQT327704 CAP327700:CAP327704 CKL327700:CKL327704 CUH327700:CUH327704 DED327700:DED327704 DNZ327700:DNZ327704 DXV327700:DXV327704 EHR327700:EHR327704 ERN327700:ERN327704 FBJ327700:FBJ327704 FLF327700:FLF327704 FVB327700:FVB327704 GEX327700:GEX327704 GOT327700:GOT327704 GYP327700:GYP327704 HIL327700:HIL327704 HSH327700:HSH327704 ICD327700:ICD327704 ILZ327700:ILZ327704 IVV327700:IVV327704 JFR327700:JFR327704 JPN327700:JPN327704 JZJ327700:JZJ327704 KJF327700:KJF327704 KTB327700:KTB327704 LCX327700:LCX327704 LMT327700:LMT327704 LWP327700:LWP327704 MGL327700:MGL327704 MQH327700:MQH327704 NAD327700:NAD327704 NJZ327700:NJZ327704 NTV327700:NTV327704 ODR327700:ODR327704 ONN327700:ONN327704 OXJ327700:OXJ327704 PHF327700:PHF327704 PRB327700:PRB327704 QAX327700:QAX327704 QKT327700:QKT327704 QUP327700:QUP327704 REL327700:REL327704 ROH327700:ROH327704 RYD327700:RYD327704 SHZ327700:SHZ327704 SRV327700:SRV327704 TBR327700:TBR327704 TLN327700:TLN327704 TVJ327700:TVJ327704 UFF327700:UFF327704 UPB327700:UPB327704 UYX327700:UYX327704 VIT327700:VIT327704 VSP327700:VSP327704 WCL327700:WCL327704 WMH327700:WMH327704 WWD327700:WWD327704 X393236:X393240 JR393236:JR393240 TN393236:TN393240 ADJ393236:ADJ393240 ANF393236:ANF393240 AXB393236:AXB393240 BGX393236:BGX393240 BQT393236:BQT393240 CAP393236:CAP393240 CKL393236:CKL393240 CUH393236:CUH393240 DED393236:DED393240 DNZ393236:DNZ393240 DXV393236:DXV393240 EHR393236:EHR393240 ERN393236:ERN393240 FBJ393236:FBJ393240 FLF393236:FLF393240 FVB393236:FVB393240 GEX393236:GEX393240 GOT393236:GOT393240 GYP393236:GYP393240 HIL393236:HIL393240 HSH393236:HSH393240 ICD393236:ICD393240 ILZ393236:ILZ393240 IVV393236:IVV393240 JFR393236:JFR393240 JPN393236:JPN393240 JZJ393236:JZJ393240 KJF393236:KJF393240 KTB393236:KTB393240 LCX393236:LCX393240 LMT393236:LMT393240 LWP393236:LWP393240 MGL393236:MGL393240 MQH393236:MQH393240 NAD393236:NAD393240 NJZ393236:NJZ393240 NTV393236:NTV393240 ODR393236:ODR393240 ONN393236:ONN393240 OXJ393236:OXJ393240 PHF393236:PHF393240 PRB393236:PRB393240 QAX393236:QAX393240 QKT393236:QKT393240 QUP393236:QUP393240 REL393236:REL393240 ROH393236:ROH393240 RYD393236:RYD393240 SHZ393236:SHZ393240 SRV393236:SRV393240 TBR393236:TBR393240 TLN393236:TLN393240 TVJ393236:TVJ393240 UFF393236:UFF393240 UPB393236:UPB393240 UYX393236:UYX393240 VIT393236:VIT393240 VSP393236:VSP393240 WCL393236:WCL393240 WMH393236:WMH393240 WWD393236:WWD393240 X458772:X458776 JR458772:JR458776 TN458772:TN458776 ADJ458772:ADJ458776 ANF458772:ANF458776 AXB458772:AXB458776 BGX458772:BGX458776 BQT458772:BQT458776 CAP458772:CAP458776 CKL458772:CKL458776 CUH458772:CUH458776 DED458772:DED458776 DNZ458772:DNZ458776 DXV458772:DXV458776 EHR458772:EHR458776 ERN458772:ERN458776 FBJ458772:FBJ458776 FLF458772:FLF458776 FVB458772:FVB458776 GEX458772:GEX458776 GOT458772:GOT458776 GYP458772:GYP458776 HIL458772:HIL458776 HSH458772:HSH458776 ICD458772:ICD458776 ILZ458772:ILZ458776 IVV458772:IVV458776 JFR458772:JFR458776 JPN458772:JPN458776 JZJ458772:JZJ458776 KJF458772:KJF458776 KTB458772:KTB458776 LCX458772:LCX458776 LMT458772:LMT458776 LWP458772:LWP458776 MGL458772:MGL458776 MQH458772:MQH458776 NAD458772:NAD458776 NJZ458772:NJZ458776 NTV458772:NTV458776 ODR458772:ODR458776 ONN458772:ONN458776 OXJ458772:OXJ458776 PHF458772:PHF458776 PRB458772:PRB458776 QAX458772:QAX458776 QKT458772:QKT458776 QUP458772:QUP458776 REL458772:REL458776 ROH458772:ROH458776 RYD458772:RYD458776 SHZ458772:SHZ458776 SRV458772:SRV458776 TBR458772:TBR458776 TLN458772:TLN458776 TVJ458772:TVJ458776 UFF458772:UFF458776 UPB458772:UPB458776 UYX458772:UYX458776 VIT458772:VIT458776 VSP458772:VSP458776 WCL458772:WCL458776 WMH458772:WMH458776 WWD458772:WWD458776 X524308:X524312 JR524308:JR524312 TN524308:TN524312 ADJ524308:ADJ524312 ANF524308:ANF524312 AXB524308:AXB524312 BGX524308:BGX524312 BQT524308:BQT524312 CAP524308:CAP524312 CKL524308:CKL524312 CUH524308:CUH524312 DED524308:DED524312 DNZ524308:DNZ524312 DXV524308:DXV524312 EHR524308:EHR524312 ERN524308:ERN524312 FBJ524308:FBJ524312 FLF524308:FLF524312 FVB524308:FVB524312 GEX524308:GEX524312 GOT524308:GOT524312 GYP524308:GYP524312 HIL524308:HIL524312 HSH524308:HSH524312 ICD524308:ICD524312 ILZ524308:ILZ524312 IVV524308:IVV524312 JFR524308:JFR524312 JPN524308:JPN524312 JZJ524308:JZJ524312 KJF524308:KJF524312 KTB524308:KTB524312 LCX524308:LCX524312 LMT524308:LMT524312 LWP524308:LWP524312 MGL524308:MGL524312 MQH524308:MQH524312 NAD524308:NAD524312 NJZ524308:NJZ524312 NTV524308:NTV524312 ODR524308:ODR524312 ONN524308:ONN524312 OXJ524308:OXJ524312 PHF524308:PHF524312 PRB524308:PRB524312 QAX524308:QAX524312 QKT524308:QKT524312 QUP524308:QUP524312 REL524308:REL524312 ROH524308:ROH524312 RYD524308:RYD524312 SHZ524308:SHZ524312 SRV524308:SRV524312 TBR524308:TBR524312 TLN524308:TLN524312 TVJ524308:TVJ524312 UFF524308:UFF524312 UPB524308:UPB524312 UYX524308:UYX524312 VIT524308:VIT524312 VSP524308:VSP524312 WCL524308:WCL524312 WMH524308:WMH524312 WWD524308:WWD524312 X589844:X589848 JR589844:JR589848 TN589844:TN589848 ADJ589844:ADJ589848 ANF589844:ANF589848 AXB589844:AXB589848 BGX589844:BGX589848 BQT589844:BQT589848 CAP589844:CAP589848 CKL589844:CKL589848 CUH589844:CUH589848 DED589844:DED589848 DNZ589844:DNZ589848 DXV589844:DXV589848 EHR589844:EHR589848 ERN589844:ERN589848 FBJ589844:FBJ589848 FLF589844:FLF589848 FVB589844:FVB589848 GEX589844:GEX589848 GOT589844:GOT589848 GYP589844:GYP589848 HIL589844:HIL589848 HSH589844:HSH589848 ICD589844:ICD589848 ILZ589844:ILZ589848 IVV589844:IVV589848 JFR589844:JFR589848 JPN589844:JPN589848 JZJ589844:JZJ589848 KJF589844:KJF589848 KTB589844:KTB589848 LCX589844:LCX589848 LMT589844:LMT589848 LWP589844:LWP589848 MGL589844:MGL589848 MQH589844:MQH589848 NAD589844:NAD589848 NJZ589844:NJZ589848 NTV589844:NTV589848 ODR589844:ODR589848 ONN589844:ONN589848 OXJ589844:OXJ589848 PHF589844:PHF589848 PRB589844:PRB589848 QAX589844:QAX589848 QKT589844:QKT589848 QUP589844:QUP589848 REL589844:REL589848 ROH589844:ROH589848 RYD589844:RYD589848 SHZ589844:SHZ589848 SRV589844:SRV589848 TBR589844:TBR589848 TLN589844:TLN589848 TVJ589844:TVJ589848 UFF589844:UFF589848 UPB589844:UPB589848 UYX589844:UYX589848 VIT589844:VIT589848 VSP589844:VSP589848 WCL589844:WCL589848 WMH589844:WMH589848 WWD589844:WWD589848 X655380:X655384 JR655380:JR655384 TN655380:TN655384 ADJ655380:ADJ655384 ANF655380:ANF655384 AXB655380:AXB655384 BGX655380:BGX655384 BQT655380:BQT655384 CAP655380:CAP655384 CKL655380:CKL655384 CUH655380:CUH655384 DED655380:DED655384 DNZ655380:DNZ655384 DXV655380:DXV655384 EHR655380:EHR655384 ERN655380:ERN655384 FBJ655380:FBJ655384 FLF655380:FLF655384 FVB655380:FVB655384 GEX655380:GEX655384 GOT655380:GOT655384 GYP655380:GYP655384 HIL655380:HIL655384 HSH655380:HSH655384 ICD655380:ICD655384 ILZ655380:ILZ655384 IVV655380:IVV655384 JFR655380:JFR655384 JPN655380:JPN655384 JZJ655380:JZJ655384 KJF655380:KJF655384 KTB655380:KTB655384 LCX655380:LCX655384 LMT655380:LMT655384 LWP655380:LWP655384 MGL655380:MGL655384 MQH655380:MQH655384 NAD655380:NAD655384 NJZ655380:NJZ655384 NTV655380:NTV655384 ODR655380:ODR655384 ONN655380:ONN655384 OXJ655380:OXJ655384 PHF655380:PHF655384 PRB655380:PRB655384 QAX655380:QAX655384 QKT655380:QKT655384 QUP655380:QUP655384 REL655380:REL655384 ROH655380:ROH655384 RYD655380:RYD655384 SHZ655380:SHZ655384 SRV655380:SRV655384 TBR655380:TBR655384 TLN655380:TLN655384 TVJ655380:TVJ655384 UFF655380:UFF655384 UPB655380:UPB655384 UYX655380:UYX655384 VIT655380:VIT655384 VSP655380:VSP655384 WCL655380:WCL655384 WMH655380:WMH655384 WWD655380:WWD655384 X720916:X720920 JR720916:JR720920 TN720916:TN720920 ADJ720916:ADJ720920 ANF720916:ANF720920 AXB720916:AXB720920 BGX720916:BGX720920 BQT720916:BQT720920 CAP720916:CAP720920 CKL720916:CKL720920 CUH720916:CUH720920 DED720916:DED720920 DNZ720916:DNZ720920 DXV720916:DXV720920 EHR720916:EHR720920 ERN720916:ERN720920 FBJ720916:FBJ720920 FLF720916:FLF720920 FVB720916:FVB720920 GEX720916:GEX720920 GOT720916:GOT720920 GYP720916:GYP720920 HIL720916:HIL720920 HSH720916:HSH720920 ICD720916:ICD720920 ILZ720916:ILZ720920 IVV720916:IVV720920 JFR720916:JFR720920 JPN720916:JPN720920 JZJ720916:JZJ720920 KJF720916:KJF720920 KTB720916:KTB720920 LCX720916:LCX720920 LMT720916:LMT720920 LWP720916:LWP720920 MGL720916:MGL720920 MQH720916:MQH720920 NAD720916:NAD720920 NJZ720916:NJZ720920 NTV720916:NTV720920 ODR720916:ODR720920 ONN720916:ONN720920 OXJ720916:OXJ720920 PHF720916:PHF720920 PRB720916:PRB720920 QAX720916:QAX720920 QKT720916:QKT720920 QUP720916:QUP720920 REL720916:REL720920 ROH720916:ROH720920 RYD720916:RYD720920 SHZ720916:SHZ720920 SRV720916:SRV720920 TBR720916:TBR720920 TLN720916:TLN720920 TVJ720916:TVJ720920 UFF720916:UFF720920 UPB720916:UPB720920 UYX720916:UYX720920 VIT720916:VIT720920 VSP720916:VSP720920 WCL720916:WCL720920 WMH720916:WMH720920 WWD720916:WWD720920 X786452:X786456 JR786452:JR786456 TN786452:TN786456 ADJ786452:ADJ786456 ANF786452:ANF786456 AXB786452:AXB786456 BGX786452:BGX786456 BQT786452:BQT786456 CAP786452:CAP786456 CKL786452:CKL786456 CUH786452:CUH786456 DED786452:DED786456 DNZ786452:DNZ786456 DXV786452:DXV786456 EHR786452:EHR786456 ERN786452:ERN786456 FBJ786452:FBJ786456 FLF786452:FLF786456 FVB786452:FVB786456 GEX786452:GEX786456 GOT786452:GOT786456 GYP786452:GYP786456 HIL786452:HIL786456 HSH786452:HSH786456 ICD786452:ICD786456 ILZ786452:ILZ786456 IVV786452:IVV786456 JFR786452:JFR786456 JPN786452:JPN786456 JZJ786452:JZJ786456 KJF786452:KJF786456 KTB786452:KTB786456 LCX786452:LCX786456 LMT786452:LMT786456 LWP786452:LWP786456 MGL786452:MGL786456 MQH786452:MQH786456 NAD786452:NAD786456 NJZ786452:NJZ786456 NTV786452:NTV786456 ODR786452:ODR786456 ONN786452:ONN786456 OXJ786452:OXJ786456 PHF786452:PHF786456 PRB786452:PRB786456 QAX786452:QAX786456 QKT786452:QKT786456 QUP786452:QUP786456 REL786452:REL786456 ROH786452:ROH786456 RYD786452:RYD786456 SHZ786452:SHZ786456 SRV786452:SRV786456 TBR786452:TBR786456 TLN786452:TLN786456 TVJ786452:TVJ786456 UFF786452:UFF786456 UPB786452:UPB786456 UYX786452:UYX786456 VIT786452:VIT786456 VSP786452:VSP786456 WCL786452:WCL786456 WMH786452:WMH786456 WWD786452:WWD786456 X851988:X851992 JR851988:JR851992 TN851988:TN851992 ADJ851988:ADJ851992 ANF851988:ANF851992 AXB851988:AXB851992 BGX851988:BGX851992 BQT851988:BQT851992 CAP851988:CAP851992 CKL851988:CKL851992 CUH851988:CUH851992 DED851988:DED851992 DNZ851988:DNZ851992 DXV851988:DXV851992 EHR851988:EHR851992 ERN851988:ERN851992 FBJ851988:FBJ851992 FLF851988:FLF851992 FVB851988:FVB851992 GEX851988:GEX851992 GOT851988:GOT851992 GYP851988:GYP851992 HIL851988:HIL851992 HSH851988:HSH851992 ICD851988:ICD851992 ILZ851988:ILZ851992 IVV851988:IVV851992 JFR851988:JFR851992 JPN851988:JPN851992 JZJ851988:JZJ851992 KJF851988:KJF851992 KTB851988:KTB851992 LCX851988:LCX851992 LMT851988:LMT851992 LWP851988:LWP851992 MGL851988:MGL851992 MQH851988:MQH851992 NAD851988:NAD851992 NJZ851988:NJZ851992 NTV851988:NTV851992 ODR851988:ODR851992 ONN851988:ONN851992 OXJ851988:OXJ851992 PHF851988:PHF851992 PRB851988:PRB851992 QAX851988:QAX851992 QKT851988:QKT851992 QUP851988:QUP851992 REL851988:REL851992 ROH851988:ROH851992 RYD851988:RYD851992 SHZ851988:SHZ851992 SRV851988:SRV851992 TBR851988:TBR851992 TLN851988:TLN851992 TVJ851988:TVJ851992 UFF851988:UFF851992 UPB851988:UPB851992 UYX851988:UYX851992 VIT851988:VIT851992 VSP851988:VSP851992 WCL851988:WCL851992 WMH851988:WMH851992 WWD851988:WWD851992 X917524:X917528 JR917524:JR917528 TN917524:TN917528 ADJ917524:ADJ917528 ANF917524:ANF917528 AXB917524:AXB917528 BGX917524:BGX917528 BQT917524:BQT917528 CAP917524:CAP917528 CKL917524:CKL917528 CUH917524:CUH917528 DED917524:DED917528 DNZ917524:DNZ917528 DXV917524:DXV917528 EHR917524:EHR917528 ERN917524:ERN917528 FBJ917524:FBJ917528 FLF917524:FLF917528 FVB917524:FVB917528 GEX917524:GEX917528 GOT917524:GOT917528 GYP917524:GYP917528 HIL917524:HIL917528 HSH917524:HSH917528 ICD917524:ICD917528 ILZ917524:ILZ917528 IVV917524:IVV917528 JFR917524:JFR917528 JPN917524:JPN917528 JZJ917524:JZJ917528 KJF917524:KJF917528 KTB917524:KTB917528 LCX917524:LCX917528 LMT917524:LMT917528 LWP917524:LWP917528 MGL917524:MGL917528 MQH917524:MQH917528 NAD917524:NAD917528 NJZ917524:NJZ917528 NTV917524:NTV917528 ODR917524:ODR917528 ONN917524:ONN917528 OXJ917524:OXJ917528 PHF917524:PHF917528 PRB917524:PRB917528 QAX917524:QAX917528 QKT917524:QKT917528 QUP917524:QUP917528 REL917524:REL917528 ROH917524:ROH917528 RYD917524:RYD917528 SHZ917524:SHZ917528 SRV917524:SRV917528 TBR917524:TBR917528 TLN917524:TLN917528 TVJ917524:TVJ917528 UFF917524:UFF917528 UPB917524:UPB917528 UYX917524:UYX917528 VIT917524:VIT917528 VSP917524:VSP917528 WCL917524:WCL917528 WMH917524:WMH917528 WWD917524:WWD917528 X983060:X983064 JR983060:JR983064 TN983060:TN983064 ADJ983060:ADJ983064 ANF983060:ANF983064 AXB983060:AXB983064 BGX983060:BGX983064 BQT983060:BQT983064 CAP983060:CAP983064 CKL983060:CKL983064 CUH983060:CUH983064 DED983060:DED983064 DNZ983060:DNZ983064 DXV983060:DXV983064 EHR983060:EHR983064 ERN983060:ERN983064 FBJ983060:FBJ983064 FLF983060:FLF983064 FVB983060:FVB983064 GEX983060:GEX983064 GOT983060:GOT983064 GYP983060:GYP983064 HIL983060:HIL983064 HSH983060:HSH983064 ICD983060:ICD983064 ILZ983060:ILZ983064 IVV983060:IVV983064 JFR983060:JFR983064 JPN983060:JPN983064 JZJ983060:JZJ983064 KJF983060:KJF983064 KTB983060:KTB983064 LCX983060:LCX983064 LMT983060:LMT983064 LWP983060:LWP983064 MGL983060:MGL983064 MQH983060:MQH983064 NAD983060:NAD983064 NJZ983060:NJZ983064 NTV983060:NTV983064 ODR983060:ODR983064 ONN983060:ONN983064 OXJ983060:OXJ983064 PHF983060:PHF983064 PRB983060:PRB983064 QAX983060:QAX983064 QKT983060:QKT983064 QUP983060:QUP983064 REL983060:REL983064 ROH983060:ROH983064 RYD983060:RYD983064 SHZ983060:SHZ983064 SRV983060:SRV983064 TBR983060:TBR983064 TLN983060:TLN983064 TVJ983060:TVJ983064 UFF983060:UFF983064 UPB983060:UPB983064 UYX983060:UYX983064 VIT983060:VIT983064 VSP983060:VSP983064 WCL983060:WCL983064 WMH983060:WMH983064 G23:Q24" xr:uid="{00000000-0002-0000-0200-000001000000}">
      <formula1>#REF!</formula1>
    </dataValidation>
    <dataValidation type="list" allowBlank="1" showInputMessage="1" showErrorMessage="1" sqref="X13:X22" xr:uid="{BB8D4225-29E0-4B61-9ED7-11263FFEC0AA}">
      <formula1>"Pendiente, En Proceso, Realizado"</formula1>
    </dataValidation>
    <dataValidation type="list" allowBlank="1" showInputMessage="1" showErrorMessage="1" sqref="F13:Q22" xr:uid="{F47FE1DB-CE57-43A2-9EB1-560D39D0930F}">
      <formula1>"P, E, R, N"</formula1>
    </dataValidation>
  </dataValidations>
  <printOptions horizontalCentered="1" verticalCentered="1"/>
  <pageMargins left="0.59055118110236227" right="0.59055118110236227" top="0.55118110236220474" bottom="0.59055118110236227" header="0.19685039370078741" footer="0.19685039370078741"/>
  <pageSetup paperSize="9" scale="44" orientation="landscape" r:id="rId1"/>
  <headerFooter scaleWithDoc="0"/>
  <colBreaks count="1" manualBreakCount="1">
    <brk id="2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9C22-73F3-458C-ACF9-FAEB83FA8163}">
  <sheetPr>
    <tabColor rgb="FF92D050"/>
  </sheetPr>
  <dimension ref="A1:G46"/>
  <sheetViews>
    <sheetView showGridLines="0" topLeftCell="A3" workbookViewId="0">
      <selection activeCell="B23" sqref="B23"/>
    </sheetView>
  </sheetViews>
  <sheetFormatPr baseColWidth="10" defaultColWidth="11.453125" defaultRowHeight="12.5"/>
  <cols>
    <col min="1" max="1" width="4.54296875" bestFit="1" customWidth="1"/>
    <col min="2" max="2" width="21.54296875" bestFit="1" customWidth="1"/>
    <col min="3" max="3" width="15.54296875" customWidth="1"/>
    <col min="4" max="4" width="17" customWidth="1"/>
    <col min="6" max="6" width="30.36328125" bestFit="1" customWidth="1"/>
  </cols>
  <sheetData>
    <row r="1" spans="1:7" ht="13">
      <c r="A1" s="539" t="s">
        <v>145</v>
      </c>
      <c r="B1" s="540" t="s">
        <v>146</v>
      </c>
      <c r="C1" s="195" t="s">
        <v>147</v>
      </c>
      <c r="D1" s="540" t="s">
        <v>148</v>
      </c>
      <c r="E1" s="195" t="s">
        <v>147</v>
      </c>
      <c r="F1" s="540" t="s">
        <v>149</v>
      </c>
      <c r="G1" s="539" t="s">
        <v>150</v>
      </c>
    </row>
    <row r="2" spans="1:7" ht="13">
      <c r="A2" s="539"/>
      <c r="B2" s="540"/>
      <c r="C2" s="195" t="s">
        <v>151</v>
      </c>
      <c r="D2" s="540"/>
      <c r="E2" s="195" t="s">
        <v>152</v>
      </c>
      <c r="F2" s="540"/>
      <c r="G2" s="539"/>
    </row>
    <row r="3" spans="1:7" ht="14.5">
      <c r="A3" s="162">
        <v>1</v>
      </c>
      <c r="B3" s="196" t="s">
        <v>153</v>
      </c>
      <c r="C3" s="197">
        <v>45672</v>
      </c>
      <c r="D3" s="192"/>
      <c r="E3" s="166"/>
      <c r="F3" s="166"/>
      <c r="G3" s="178"/>
    </row>
    <row r="4" spans="1:7" ht="13">
      <c r="A4" s="162">
        <v>2</v>
      </c>
      <c r="B4" s="196" t="s">
        <v>153</v>
      </c>
      <c r="C4" s="197"/>
      <c r="D4" s="197">
        <v>45672</v>
      </c>
      <c r="E4" s="166"/>
      <c r="F4" s="166"/>
      <c r="G4" s="178"/>
    </row>
    <row r="5" spans="1:7" ht="13">
      <c r="A5" s="162">
        <v>3</v>
      </c>
      <c r="B5" s="196" t="s">
        <v>154</v>
      </c>
      <c r="C5" s="197">
        <v>45672</v>
      </c>
      <c r="D5" s="193"/>
      <c r="E5" s="147"/>
      <c r="F5" s="164"/>
      <c r="G5" s="179"/>
    </row>
    <row r="6" spans="1:7" ht="13">
      <c r="A6" s="162">
        <v>4</v>
      </c>
      <c r="B6" s="196" t="s">
        <v>154</v>
      </c>
      <c r="C6" s="169"/>
      <c r="D6" s="197">
        <v>45673</v>
      </c>
      <c r="E6" s="147"/>
      <c r="F6" s="164"/>
      <c r="G6" s="179"/>
    </row>
    <row r="7" spans="1:7" ht="14.5">
      <c r="A7" s="162">
        <v>5</v>
      </c>
      <c r="B7" s="196" t="s">
        <v>155</v>
      </c>
      <c r="C7" s="197">
        <v>45673</v>
      </c>
      <c r="D7" s="192"/>
      <c r="E7" s="166"/>
      <c r="F7" s="166"/>
      <c r="G7" s="178"/>
    </row>
    <row r="8" spans="1:7" ht="13">
      <c r="A8" s="162">
        <v>6</v>
      </c>
      <c r="B8" s="196" t="s">
        <v>155</v>
      </c>
      <c r="C8" s="169"/>
      <c r="D8" s="197">
        <v>45674</v>
      </c>
      <c r="E8" s="166"/>
      <c r="F8" s="166"/>
      <c r="G8" s="178"/>
    </row>
    <row r="9" spans="1:7" ht="13">
      <c r="A9" s="162">
        <v>7</v>
      </c>
      <c r="B9" s="196" t="s">
        <v>156</v>
      </c>
      <c r="C9" s="198">
        <v>45685</v>
      </c>
      <c r="D9" s="183"/>
      <c r="E9" s="147"/>
      <c r="F9" s="164"/>
      <c r="G9" s="179"/>
    </row>
    <row r="10" spans="1:7" ht="13">
      <c r="A10" s="162">
        <v>8</v>
      </c>
      <c r="B10" s="196" t="s">
        <v>156</v>
      </c>
      <c r="C10" s="198"/>
      <c r="D10" s="198">
        <v>45686</v>
      </c>
      <c r="E10" s="147"/>
      <c r="F10" s="164"/>
      <c r="G10" s="179"/>
    </row>
    <row r="11" spans="1:7" ht="14.5">
      <c r="A11" s="162">
        <v>9</v>
      </c>
      <c r="B11" s="196" t="s">
        <v>157</v>
      </c>
      <c r="C11" s="198">
        <v>45686</v>
      </c>
      <c r="D11" s="194"/>
      <c r="E11" s="163"/>
      <c r="F11" s="166" t="s">
        <v>168</v>
      </c>
      <c r="G11" s="178">
        <v>0.5</v>
      </c>
    </row>
    <row r="12" spans="1:7" ht="14.5">
      <c r="A12" s="162">
        <v>10</v>
      </c>
      <c r="B12" s="196" t="s">
        <v>157</v>
      </c>
      <c r="C12" s="198"/>
      <c r="D12" s="198">
        <v>45687</v>
      </c>
      <c r="E12" s="163"/>
      <c r="F12" s="166"/>
      <c r="G12" s="178"/>
    </row>
    <row r="13" spans="1:7" ht="13">
      <c r="A13" s="162">
        <v>11</v>
      </c>
      <c r="B13" s="196" t="s">
        <v>158</v>
      </c>
      <c r="C13" s="198">
        <v>45687</v>
      </c>
      <c r="D13" s="183"/>
      <c r="E13" s="147"/>
      <c r="F13" s="164"/>
      <c r="G13" s="179"/>
    </row>
    <row r="14" spans="1:7" ht="13">
      <c r="A14" s="162">
        <v>12</v>
      </c>
      <c r="B14" s="196" t="s">
        <v>159</v>
      </c>
      <c r="C14" s="198">
        <v>45688</v>
      </c>
      <c r="D14" s="183"/>
      <c r="E14" s="147"/>
      <c r="F14" s="164"/>
      <c r="G14" s="179"/>
    </row>
    <row r="15" spans="1:7" ht="13">
      <c r="A15" s="162">
        <v>13</v>
      </c>
      <c r="B15" s="196" t="s">
        <v>160</v>
      </c>
      <c r="C15" s="198">
        <v>45691</v>
      </c>
      <c r="D15" s="183"/>
      <c r="E15" s="147"/>
      <c r="F15" s="164"/>
      <c r="G15" s="179"/>
    </row>
    <row r="16" spans="1:7" s="167" customFormat="1" ht="13">
      <c r="A16" s="177"/>
      <c r="B16" s="180"/>
      <c r="C16" s="181"/>
      <c r="D16" s="173"/>
      <c r="E16" s="174"/>
      <c r="F16" s="175"/>
      <c r="G16" s="182"/>
    </row>
    <row r="17" spans="1:7" s="167" customFormat="1" ht="13">
      <c r="A17"/>
      <c r="B17" s="149" t="s">
        <v>161</v>
      </c>
      <c r="C17" s="150"/>
      <c r="D17" s="150"/>
      <c r="E17" s="150"/>
      <c r="F17" s="175"/>
      <c r="G17" s="182"/>
    </row>
    <row r="18" spans="1:7" s="167" customFormat="1" ht="13">
      <c r="A18" s="534"/>
      <c r="B18" s="151" t="s">
        <v>162</v>
      </c>
      <c r="C18" s="535" t="s">
        <v>163</v>
      </c>
      <c r="D18" s="152" t="s">
        <v>164</v>
      </c>
      <c r="E18" s="535" t="s">
        <v>150</v>
      </c>
      <c r="F18" s="175"/>
      <c r="G18" s="182"/>
    </row>
    <row r="19" spans="1:7" s="167" customFormat="1" ht="13">
      <c r="A19" s="534"/>
      <c r="B19" s="153" t="s">
        <v>165</v>
      </c>
      <c r="C19" s="536"/>
      <c r="D19" s="154" t="s">
        <v>166</v>
      </c>
      <c r="E19" s="536"/>
      <c r="F19" s="175"/>
      <c r="G19" s="182"/>
    </row>
    <row r="20" spans="1:7" s="167" customFormat="1" ht="13">
      <c r="A20"/>
      <c r="B20" s="155">
        <v>13</v>
      </c>
      <c r="C20" s="156">
        <v>12</v>
      </c>
      <c r="D20" s="156">
        <v>1</v>
      </c>
      <c r="E20" s="156">
        <v>0.5</v>
      </c>
      <c r="F20" s="175"/>
      <c r="G20" s="182"/>
    </row>
    <row r="21" spans="1:7" s="167" customFormat="1" ht="13">
      <c r="A21" s="533"/>
      <c r="B21" s="533"/>
      <c r="C21"/>
      <c r="D21">
        <f>D20*E20</f>
        <v>0.5</v>
      </c>
      <c r="E21"/>
      <c r="F21" s="175"/>
      <c r="G21" s="182"/>
    </row>
    <row r="22" spans="1:7" s="167" customFormat="1" ht="13">
      <c r="A22" s="533"/>
      <c r="B22" s="533"/>
      <c r="C22"/>
      <c r="D22"/>
      <c r="E22"/>
      <c r="F22" s="175"/>
      <c r="G22" s="182"/>
    </row>
    <row r="23" spans="1:7" s="167" customFormat="1" ht="13">
      <c r="A23"/>
      <c r="B23" s="158" t="s">
        <v>167</v>
      </c>
      <c r="C23" s="159">
        <f>(B20-D21)/B20</f>
        <v>0.96153846153846156</v>
      </c>
      <c r="D23" s="160"/>
      <c r="E23"/>
      <c r="F23" s="175"/>
      <c r="G23" s="182"/>
    </row>
    <row r="24" spans="1:7" s="167" customFormat="1" ht="13">
      <c r="A24" s="170"/>
      <c r="B24" s="180"/>
      <c r="C24" s="181"/>
      <c r="D24" s="173"/>
      <c r="E24" s="174"/>
      <c r="F24" s="175"/>
      <c r="G24" s="182"/>
    </row>
    <row r="25" spans="1:7" s="167" customFormat="1" ht="13">
      <c r="A25" s="170"/>
      <c r="B25" s="180"/>
      <c r="C25" s="181"/>
      <c r="D25" s="173"/>
      <c r="E25" s="174"/>
      <c r="F25" s="175"/>
      <c r="G25" s="182"/>
    </row>
    <row r="26" spans="1:7" s="167" customFormat="1" ht="13">
      <c r="A26" s="170"/>
      <c r="B26" s="180"/>
      <c r="C26" s="181"/>
      <c r="D26" s="173"/>
      <c r="E26" s="174"/>
      <c r="F26" s="175"/>
      <c r="G26" s="182"/>
    </row>
    <row r="27" spans="1:7" s="167" customFormat="1" ht="13">
      <c r="A27" s="170"/>
      <c r="B27" s="180"/>
      <c r="C27" s="181"/>
      <c r="D27" s="173"/>
      <c r="E27" s="174"/>
      <c r="F27" s="175"/>
      <c r="G27" s="182"/>
    </row>
    <row r="28" spans="1:7" s="167" customFormat="1" ht="13">
      <c r="A28" s="170"/>
      <c r="B28" s="180"/>
      <c r="C28" s="181"/>
      <c r="D28" s="173"/>
      <c r="E28" s="174"/>
      <c r="F28" s="175"/>
      <c r="G28" s="182"/>
    </row>
    <row r="29" spans="1:7" s="167" customFormat="1" ht="13">
      <c r="A29" s="170"/>
      <c r="B29" s="180"/>
      <c r="C29" s="181"/>
      <c r="D29" s="173"/>
      <c r="E29" s="174"/>
      <c r="F29" s="175"/>
      <c r="G29" s="182"/>
    </row>
    <row r="30" spans="1:7" s="167" customFormat="1" ht="13">
      <c r="A30" s="170"/>
      <c r="B30" s="180"/>
      <c r="C30" s="181"/>
      <c r="D30" s="173"/>
      <c r="E30" s="174"/>
      <c r="F30" s="175"/>
      <c r="G30" s="182"/>
    </row>
    <row r="31" spans="1:7" s="167" customFormat="1" ht="13">
      <c r="A31" s="170"/>
      <c r="B31" s="180"/>
      <c r="C31" s="181"/>
      <c r="D31" s="173"/>
      <c r="E31" s="174"/>
      <c r="F31" s="175"/>
      <c r="G31" s="182"/>
    </row>
    <row r="32" spans="1:7" s="167" customFormat="1" ht="13">
      <c r="A32" s="170"/>
      <c r="B32" s="171"/>
      <c r="C32" s="172"/>
      <c r="D32" s="173"/>
      <c r="E32" s="174"/>
      <c r="F32" s="175"/>
      <c r="G32" s="182"/>
    </row>
    <row r="33" spans="1:7" s="167" customFormat="1" ht="13">
      <c r="A33" s="170"/>
      <c r="B33" s="171"/>
      <c r="C33" s="172"/>
      <c r="D33" s="173"/>
      <c r="E33" s="174"/>
      <c r="F33" s="175"/>
      <c r="G33" s="182"/>
    </row>
    <row r="34" spans="1:7" s="167" customFormat="1" ht="13">
      <c r="A34" s="170"/>
      <c r="B34" s="171"/>
      <c r="C34" s="172"/>
      <c r="D34" s="173"/>
      <c r="E34" s="174"/>
      <c r="F34" s="175"/>
      <c r="G34" s="182"/>
    </row>
    <row r="35" spans="1:7" s="167" customFormat="1" ht="13">
      <c r="A35" s="170"/>
      <c r="B35" s="171"/>
      <c r="C35" s="172"/>
      <c r="D35" s="173"/>
      <c r="E35" s="174"/>
      <c r="F35" s="175"/>
      <c r="G35" s="182"/>
    </row>
    <row r="36" spans="1:7" ht="13">
      <c r="A36" s="170"/>
      <c r="B36" s="171"/>
      <c r="C36" s="172"/>
      <c r="D36" s="173"/>
      <c r="E36" s="174"/>
      <c r="F36" s="175"/>
      <c r="G36" s="176"/>
    </row>
    <row r="37" spans="1:7" ht="13">
      <c r="A37" s="170"/>
      <c r="B37" s="171"/>
      <c r="C37" s="172"/>
      <c r="D37" s="173"/>
      <c r="E37" s="174"/>
      <c r="F37" s="175"/>
      <c r="G37" s="176"/>
    </row>
    <row r="38" spans="1:7">
      <c r="A38" s="541"/>
      <c r="B38" s="541"/>
      <c r="G38" s="148"/>
    </row>
    <row r="39" spans="1:7">
      <c r="A39" s="533"/>
      <c r="B39" s="533"/>
      <c r="G39" s="148"/>
    </row>
    <row r="40" spans="1:7" ht="13">
      <c r="B40" s="149"/>
      <c r="C40" s="150"/>
      <c r="D40" s="150"/>
      <c r="E40" s="150"/>
      <c r="F40" s="150"/>
      <c r="G40" s="148"/>
    </row>
    <row r="41" spans="1:7" ht="13">
      <c r="A41" s="534"/>
      <c r="B41" s="151"/>
      <c r="C41" s="535"/>
      <c r="D41" s="152"/>
      <c r="E41" s="535"/>
      <c r="F41" s="537"/>
      <c r="G41" s="538"/>
    </row>
    <row r="42" spans="1:7" ht="13">
      <c r="A42" s="534"/>
      <c r="B42" s="153"/>
      <c r="C42" s="536"/>
      <c r="D42" s="154"/>
      <c r="E42" s="536"/>
      <c r="F42" s="537"/>
      <c r="G42" s="538"/>
    </row>
    <row r="43" spans="1:7">
      <c r="B43" s="155"/>
      <c r="C43" s="156"/>
      <c r="D43" s="156"/>
      <c r="E43" s="156"/>
      <c r="F43" s="157"/>
      <c r="G43" s="148"/>
    </row>
    <row r="44" spans="1:7">
      <c r="A44" s="533"/>
      <c r="B44" s="533"/>
      <c r="G44" s="148"/>
    </row>
    <row r="45" spans="1:7">
      <c r="A45" s="533"/>
      <c r="B45" s="533"/>
      <c r="G45" s="148"/>
    </row>
    <row r="46" spans="1:7" ht="13">
      <c r="B46" s="158"/>
      <c r="C46" s="159"/>
      <c r="D46" s="160"/>
      <c r="G46" s="148"/>
    </row>
  </sheetData>
  <mergeCells count="19">
    <mergeCell ref="E41:E42"/>
    <mergeCell ref="F41:F42"/>
    <mergeCell ref="G41:G42"/>
    <mergeCell ref="A1:A2"/>
    <mergeCell ref="B1:B2"/>
    <mergeCell ref="D1:D2"/>
    <mergeCell ref="F1:F2"/>
    <mergeCell ref="G1:G2"/>
    <mergeCell ref="A38:B38"/>
    <mergeCell ref="A18:A19"/>
    <mergeCell ref="C18:C19"/>
    <mergeCell ref="E18:E19"/>
    <mergeCell ref="A21:B21"/>
    <mergeCell ref="A22:B22"/>
    <mergeCell ref="A44:B44"/>
    <mergeCell ref="A45:B45"/>
    <mergeCell ref="A39:B39"/>
    <mergeCell ref="A41:A42"/>
    <mergeCell ref="C41:C42"/>
  </mergeCells>
  <phoneticPr fontId="6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5956-A074-4028-A5E6-CAB36B66C0A4}">
  <sheetPr>
    <tabColor rgb="FF92D050"/>
  </sheetPr>
  <dimension ref="A1:G28"/>
  <sheetViews>
    <sheetView showGridLines="0" workbookViewId="0">
      <selection sqref="A1:XFD1048576"/>
    </sheetView>
  </sheetViews>
  <sheetFormatPr baseColWidth="10" defaultColWidth="11.453125" defaultRowHeight="12.5"/>
  <cols>
    <col min="1" max="1" width="5.08984375" style="148" bestFit="1" customWidth="1"/>
    <col min="2" max="2" width="18.26953125" customWidth="1"/>
    <col min="3" max="3" width="13.08984375" bestFit="1" customWidth="1"/>
    <col min="4" max="5" width="11.54296875" customWidth="1"/>
    <col min="6" max="6" width="14.81640625" bestFit="1" customWidth="1"/>
    <col min="7" max="7" width="11.5429687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s="199" customFormat="1" ht="14.5">
      <c r="A3" s="202">
        <v>1</v>
      </c>
      <c r="B3" s="203" t="s">
        <v>159</v>
      </c>
      <c r="C3" s="204"/>
      <c r="D3" s="205">
        <v>45689</v>
      </c>
      <c r="E3" s="204"/>
      <c r="F3" s="204"/>
      <c r="G3" s="202"/>
    </row>
    <row r="4" spans="1:7" ht="14.5">
      <c r="A4" s="206">
        <v>2</v>
      </c>
      <c r="B4" s="207" t="s">
        <v>160</v>
      </c>
      <c r="C4" s="205">
        <v>45691</v>
      </c>
      <c r="D4" s="208"/>
      <c r="E4" s="209"/>
      <c r="F4" s="209"/>
      <c r="G4" s="210"/>
    </row>
    <row r="5" spans="1:7" ht="14.5">
      <c r="A5" s="202">
        <v>3</v>
      </c>
      <c r="B5" s="207" t="s">
        <v>160</v>
      </c>
      <c r="C5" s="211"/>
      <c r="D5" s="205">
        <v>45692</v>
      </c>
      <c r="E5" s="209"/>
      <c r="F5" s="209"/>
      <c r="G5" s="210"/>
    </row>
    <row r="6" spans="1:7" ht="14.5">
      <c r="A6" s="202">
        <v>4</v>
      </c>
      <c r="B6" s="207" t="s">
        <v>170</v>
      </c>
      <c r="C6" s="212">
        <v>45696</v>
      </c>
      <c r="D6" s="208"/>
      <c r="E6" s="213"/>
      <c r="F6" s="209"/>
      <c r="G6" s="210"/>
    </row>
    <row r="7" spans="1:7" ht="14.5">
      <c r="A7" s="206">
        <v>5</v>
      </c>
      <c r="B7" s="207" t="s">
        <v>170</v>
      </c>
      <c r="C7" s="212"/>
      <c r="D7" s="212">
        <v>45697</v>
      </c>
      <c r="E7" s="213"/>
      <c r="F7" s="209"/>
      <c r="G7" s="210"/>
    </row>
    <row r="8" spans="1:7" ht="14.5">
      <c r="A8" s="202">
        <v>6</v>
      </c>
      <c r="B8" s="207" t="s">
        <v>171</v>
      </c>
      <c r="C8" s="205">
        <v>45699</v>
      </c>
      <c r="D8" s="214"/>
      <c r="E8" s="208">
        <v>45708</v>
      </c>
      <c r="F8" s="209"/>
      <c r="G8" s="210"/>
    </row>
    <row r="9" spans="1:7" ht="14.5">
      <c r="A9" s="202">
        <v>7</v>
      </c>
      <c r="B9" s="207" t="s">
        <v>171</v>
      </c>
      <c r="C9" s="205"/>
      <c r="D9" s="208">
        <v>45708</v>
      </c>
      <c r="E9" s="208"/>
      <c r="F9" s="209"/>
      <c r="G9" s="210"/>
    </row>
    <row r="10" spans="1:7" ht="14.5">
      <c r="A10" s="206">
        <v>8</v>
      </c>
      <c r="B10" s="207" t="s">
        <v>171</v>
      </c>
      <c r="C10" s="205"/>
      <c r="D10" s="214"/>
      <c r="E10" s="208">
        <v>45708</v>
      </c>
      <c r="F10" s="209"/>
      <c r="G10" s="210"/>
    </row>
    <row r="11" spans="1:7" ht="14.5">
      <c r="A11" s="202">
        <v>9</v>
      </c>
      <c r="B11" s="207" t="s">
        <v>172</v>
      </c>
      <c r="C11" s="212">
        <v>45715</v>
      </c>
      <c r="D11" s="212">
        <v>45715</v>
      </c>
      <c r="E11" s="205"/>
      <c r="F11" s="209"/>
      <c r="G11" s="210"/>
    </row>
    <row r="12" spans="1:7" ht="14.5">
      <c r="A12" s="202">
        <v>10</v>
      </c>
      <c r="B12" s="207" t="s">
        <v>172</v>
      </c>
      <c r="C12" s="212"/>
      <c r="D12" s="208"/>
      <c r="E12" s="205"/>
      <c r="F12" s="209"/>
      <c r="G12" s="210"/>
    </row>
    <row r="13" spans="1:7" ht="14.5">
      <c r="A13" s="206">
        <v>11</v>
      </c>
      <c r="B13" s="215" t="s">
        <v>153</v>
      </c>
      <c r="C13" s="212"/>
      <c r="D13" s="208">
        <v>45709</v>
      </c>
      <c r="E13" s="205"/>
      <c r="F13" s="209"/>
      <c r="G13" s="210"/>
    </row>
    <row r="14" spans="1:7" ht="14.5">
      <c r="A14" s="202">
        <v>12</v>
      </c>
      <c r="B14" s="215" t="s">
        <v>153</v>
      </c>
      <c r="C14" s="212"/>
      <c r="D14" s="213">
        <v>45713</v>
      </c>
      <c r="E14" s="205"/>
      <c r="F14" s="209"/>
      <c r="G14" s="210"/>
    </row>
    <row r="15" spans="1:7" ht="14.5">
      <c r="A15" s="202">
        <v>13</v>
      </c>
      <c r="B15" s="215" t="s">
        <v>153</v>
      </c>
      <c r="C15" s="214"/>
      <c r="D15" s="216"/>
      <c r="E15" s="213">
        <v>45713</v>
      </c>
      <c r="F15" s="209"/>
      <c r="G15" s="210"/>
    </row>
    <row r="16" spans="1:7" ht="14.5">
      <c r="A16" s="206">
        <v>14</v>
      </c>
      <c r="B16" s="217" t="s">
        <v>154</v>
      </c>
      <c r="C16" s="214"/>
      <c r="D16" s="218">
        <v>45712</v>
      </c>
      <c r="E16" s="218"/>
      <c r="F16" s="209"/>
      <c r="G16" s="210"/>
    </row>
    <row r="17" spans="1:7" ht="14.5">
      <c r="A17" s="202">
        <v>15</v>
      </c>
      <c r="B17" s="217" t="s">
        <v>154</v>
      </c>
      <c r="C17" s="214"/>
      <c r="D17" s="218">
        <v>45712</v>
      </c>
      <c r="E17" s="218"/>
      <c r="F17" s="209"/>
      <c r="G17" s="210"/>
    </row>
    <row r="18" spans="1:7" ht="14.5">
      <c r="A18" s="202">
        <v>16</v>
      </c>
      <c r="B18" s="217" t="s">
        <v>154</v>
      </c>
      <c r="C18" s="214"/>
      <c r="D18" s="216"/>
      <c r="E18" s="218">
        <v>45712</v>
      </c>
      <c r="F18" s="209"/>
      <c r="G18" s="210"/>
    </row>
    <row r="19" spans="1:7" s="200" customFormat="1" ht="14.5">
      <c r="A19" s="206">
        <v>17</v>
      </c>
      <c r="B19" s="219" t="s">
        <v>155</v>
      </c>
      <c r="C19" s="216"/>
      <c r="D19" s="213">
        <v>45693</v>
      </c>
      <c r="E19" s="213"/>
      <c r="F19" s="209"/>
      <c r="G19" s="210"/>
    </row>
    <row r="20" spans="1:7" ht="14.5">
      <c r="A20" s="202">
        <v>18</v>
      </c>
      <c r="B20" s="219" t="s">
        <v>155</v>
      </c>
      <c r="C20" s="220"/>
      <c r="D20" s="220"/>
      <c r="E20" s="213">
        <v>45693</v>
      </c>
      <c r="F20" s="209"/>
      <c r="G20" s="210"/>
    </row>
    <row r="21" spans="1:7" s="167" customFormat="1" ht="14.5">
      <c r="A21" s="221"/>
      <c r="B21" s="222"/>
      <c r="C21" s="223"/>
      <c r="D21" s="224"/>
      <c r="E21" s="225"/>
      <c r="F21" s="226"/>
      <c r="G21" s="227"/>
    </row>
    <row r="22" spans="1:7" s="167" customFormat="1" ht="13">
      <c r="A22" s="148"/>
      <c r="B22" s="149" t="s">
        <v>161</v>
      </c>
      <c r="C22" s="150"/>
      <c r="D22" s="150"/>
      <c r="E22" s="150"/>
      <c r="F22" s="175"/>
      <c r="G22" s="182"/>
    </row>
    <row r="23" spans="1:7" s="167" customFormat="1" ht="13">
      <c r="A23" s="544"/>
      <c r="B23" s="151" t="s">
        <v>162</v>
      </c>
      <c r="C23" s="535" t="s">
        <v>163</v>
      </c>
      <c r="D23" s="152" t="s">
        <v>164</v>
      </c>
      <c r="E23" s="535" t="s">
        <v>150</v>
      </c>
      <c r="F23" s="175"/>
      <c r="G23" s="182"/>
    </row>
    <row r="24" spans="1:7" s="167" customFormat="1" ht="13">
      <c r="A24" s="544"/>
      <c r="B24" s="153" t="s">
        <v>165</v>
      </c>
      <c r="C24" s="536"/>
      <c r="D24" s="154" t="s">
        <v>166</v>
      </c>
      <c r="E24" s="536"/>
      <c r="F24" s="175"/>
      <c r="G24" s="182"/>
    </row>
    <row r="25" spans="1:7" s="167" customFormat="1" ht="13">
      <c r="A25" s="148"/>
      <c r="B25" s="155">
        <v>18</v>
      </c>
      <c r="C25" s="156">
        <v>18</v>
      </c>
      <c r="D25" s="156"/>
      <c r="E25" s="156"/>
      <c r="F25" s="175"/>
      <c r="G25" s="182"/>
    </row>
    <row r="26" spans="1:7" s="167" customFormat="1" ht="13">
      <c r="A26" s="533"/>
      <c r="B26" s="533"/>
      <c r="C26"/>
      <c r="D26">
        <f>D25*E25</f>
        <v>0</v>
      </c>
      <c r="E26"/>
      <c r="F26" s="175"/>
      <c r="G26" s="182"/>
    </row>
    <row r="27" spans="1:7" s="167" customFormat="1" ht="13">
      <c r="A27" s="533"/>
      <c r="B27" s="533"/>
      <c r="C27"/>
      <c r="D27"/>
      <c r="E27"/>
      <c r="F27" s="175"/>
      <c r="G27" s="182"/>
    </row>
    <row r="28" spans="1:7" s="167" customFormat="1" ht="13">
      <c r="A28"/>
      <c r="B28" s="158" t="s">
        <v>167</v>
      </c>
      <c r="C28" s="159">
        <f>(B25-D26)/B25</f>
        <v>1</v>
      </c>
      <c r="D28" s="160"/>
      <c r="E28"/>
      <c r="F28" s="175"/>
      <c r="G28" s="182"/>
    </row>
  </sheetData>
  <mergeCells count="10">
    <mergeCell ref="A23:A24"/>
    <mergeCell ref="C23:C24"/>
    <mergeCell ref="E23:E24"/>
    <mergeCell ref="A26:B26"/>
    <mergeCell ref="A27:B27"/>
    <mergeCell ref="A1:A2"/>
    <mergeCell ref="B1:B2"/>
    <mergeCell ref="D1:D2"/>
    <mergeCell ref="F1:F2"/>
    <mergeCell ref="G1:G2"/>
  </mergeCells>
  <phoneticPr fontId="6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B09EE-C48D-478F-A44E-119B550C86F9}">
  <sheetPr>
    <tabColor rgb="FF92D050"/>
  </sheetPr>
  <dimension ref="A1:G28"/>
  <sheetViews>
    <sheetView showGridLines="0" workbookViewId="0">
      <selection sqref="A1:XFD1048576"/>
    </sheetView>
  </sheetViews>
  <sheetFormatPr baseColWidth="10" defaultColWidth="11.453125" defaultRowHeight="12.5"/>
  <cols>
    <col min="1" max="1" width="5.08984375" style="148" bestFit="1" customWidth="1"/>
    <col min="2" max="2" width="18.26953125" customWidth="1"/>
    <col min="3" max="3" width="13.08984375" bestFit="1" customWidth="1"/>
    <col min="4" max="5" width="11.54296875" customWidth="1"/>
    <col min="6" max="6" width="14.81640625" bestFit="1" customWidth="1"/>
    <col min="7" max="7" width="11.5429687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ht="14.5">
      <c r="A3" s="202">
        <v>1</v>
      </c>
      <c r="B3" s="228" t="s">
        <v>156</v>
      </c>
      <c r="C3" s="214"/>
      <c r="D3" s="229">
        <v>45727</v>
      </c>
      <c r="E3" s="168"/>
      <c r="F3" s="209"/>
      <c r="G3" s="210"/>
    </row>
    <row r="4" spans="1:7" ht="14.5">
      <c r="A4" s="202">
        <v>2</v>
      </c>
      <c r="B4" s="228" t="s">
        <v>156</v>
      </c>
      <c r="C4" s="214"/>
      <c r="D4" s="168"/>
      <c r="E4" s="229">
        <v>45728</v>
      </c>
      <c r="F4" s="209"/>
      <c r="G4" s="210"/>
    </row>
    <row r="5" spans="1:7" s="199" customFormat="1" ht="14.5">
      <c r="A5" s="202">
        <v>3</v>
      </c>
      <c r="B5" s="230" t="s">
        <v>173</v>
      </c>
      <c r="C5" s="231">
        <v>45730</v>
      </c>
      <c r="D5" s="205"/>
      <c r="E5" s="204"/>
      <c r="F5" s="204"/>
      <c r="G5" s="202"/>
    </row>
    <row r="6" spans="1:7" s="199" customFormat="1" ht="14.5">
      <c r="A6" s="202">
        <v>4</v>
      </c>
      <c r="B6" s="230" t="s">
        <v>173</v>
      </c>
      <c r="C6" s="231"/>
      <c r="D6" s="231">
        <v>45730</v>
      </c>
      <c r="E6" s="204"/>
      <c r="F6" s="204"/>
      <c r="G6" s="202"/>
    </row>
    <row r="7" spans="1:7" ht="14.5">
      <c r="A7" s="202">
        <v>5</v>
      </c>
      <c r="B7" s="230" t="s">
        <v>160</v>
      </c>
      <c r="C7" s="205"/>
      <c r="D7" s="232">
        <v>45736</v>
      </c>
      <c r="E7" s="229"/>
      <c r="F7" s="209"/>
      <c r="G7" s="210"/>
    </row>
    <row r="8" spans="1:7" ht="14.5">
      <c r="A8" s="202">
        <v>6</v>
      </c>
      <c r="B8" s="230" t="s">
        <v>160</v>
      </c>
      <c r="C8" s="205"/>
      <c r="D8" s="208"/>
      <c r="E8" s="232">
        <v>45737</v>
      </c>
      <c r="F8" s="209"/>
      <c r="G8" s="210"/>
    </row>
    <row r="9" spans="1:7" ht="14.5">
      <c r="A9" s="202">
        <v>7</v>
      </c>
      <c r="B9" s="233" t="s">
        <v>157</v>
      </c>
      <c r="C9" s="212"/>
      <c r="D9" s="231">
        <v>45742</v>
      </c>
      <c r="E9" s="168"/>
      <c r="F9" s="209"/>
      <c r="G9" s="210"/>
    </row>
    <row r="10" spans="1:7" ht="14.5">
      <c r="A10" s="202">
        <v>8</v>
      </c>
      <c r="B10" s="233" t="s">
        <v>157</v>
      </c>
      <c r="C10" s="212"/>
      <c r="D10" s="208"/>
      <c r="E10" s="231">
        <v>45743</v>
      </c>
      <c r="F10" s="209"/>
      <c r="G10" s="210"/>
    </row>
    <row r="11" spans="1:7" ht="14.5">
      <c r="A11" s="202">
        <v>9</v>
      </c>
      <c r="B11" s="233" t="s">
        <v>157</v>
      </c>
      <c r="C11" s="212"/>
      <c r="D11" s="208"/>
      <c r="E11" s="231">
        <v>45744</v>
      </c>
      <c r="F11" s="209"/>
      <c r="G11" s="210"/>
    </row>
    <row r="12" spans="1:7" ht="14.5">
      <c r="A12" s="202">
        <v>10</v>
      </c>
      <c r="B12" s="228" t="s">
        <v>158</v>
      </c>
      <c r="C12" s="212"/>
      <c r="D12" s="208"/>
      <c r="E12" s="231"/>
      <c r="F12" s="209"/>
      <c r="G12" s="210"/>
    </row>
    <row r="13" spans="1:7" ht="14.5">
      <c r="A13" s="202">
        <v>11</v>
      </c>
      <c r="B13" s="228" t="s">
        <v>158</v>
      </c>
      <c r="C13" s="212"/>
      <c r="D13" s="229">
        <v>45740</v>
      </c>
      <c r="E13" s="229">
        <v>45741</v>
      </c>
      <c r="F13" s="209"/>
      <c r="G13" s="210"/>
    </row>
    <row r="14" spans="1:7" ht="14.5">
      <c r="A14" s="202">
        <v>12</v>
      </c>
      <c r="B14" s="228" t="s">
        <v>158</v>
      </c>
      <c r="C14" s="212"/>
      <c r="D14" s="212"/>
      <c r="E14" s="229">
        <v>45742</v>
      </c>
      <c r="F14" s="209"/>
      <c r="G14" s="210"/>
    </row>
    <row r="15" spans="1:7" ht="14.5">
      <c r="A15" s="202">
        <v>13</v>
      </c>
      <c r="B15" s="228" t="s">
        <v>159</v>
      </c>
      <c r="C15" s="212"/>
      <c r="D15" s="229">
        <v>45743</v>
      </c>
      <c r="E15" s="229"/>
      <c r="F15" s="209"/>
      <c r="G15" s="210"/>
    </row>
    <row r="16" spans="1:7" ht="14.5">
      <c r="A16" s="202">
        <v>14</v>
      </c>
      <c r="B16" s="228" t="s">
        <v>159</v>
      </c>
      <c r="C16" s="205"/>
      <c r="D16" s="214"/>
      <c r="E16" s="229">
        <v>45744</v>
      </c>
      <c r="F16" s="209"/>
      <c r="G16" s="210"/>
    </row>
    <row r="17" spans="1:7" ht="14.5">
      <c r="A17" s="202">
        <v>15</v>
      </c>
      <c r="B17" s="230" t="s">
        <v>170</v>
      </c>
      <c r="C17" s="205"/>
      <c r="D17" s="232">
        <v>45744</v>
      </c>
      <c r="E17" s="232"/>
      <c r="F17" s="209"/>
      <c r="G17" s="210"/>
    </row>
    <row r="18" spans="1:7" ht="14.5">
      <c r="A18" s="202">
        <v>16</v>
      </c>
      <c r="B18" s="230" t="s">
        <v>170</v>
      </c>
      <c r="C18" s="205"/>
      <c r="D18" s="214"/>
      <c r="E18" s="232">
        <v>45745</v>
      </c>
      <c r="F18" s="209"/>
      <c r="G18" s="210"/>
    </row>
    <row r="19" spans="1:7" ht="14.5">
      <c r="A19" s="202">
        <v>17</v>
      </c>
      <c r="B19" s="230" t="s">
        <v>174</v>
      </c>
      <c r="C19" s="231">
        <v>45747</v>
      </c>
      <c r="D19" s="168"/>
      <c r="E19" s="205"/>
      <c r="F19" s="209"/>
      <c r="G19" s="210"/>
    </row>
    <row r="20" spans="1:7" ht="14.5">
      <c r="A20" s="202">
        <v>18</v>
      </c>
      <c r="B20" s="230" t="s">
        <v>174</v>
      </c>
      <c r="C20" s="231"/>
      <c r="D20" s="231">
        <v>45748</v>
      </c>
      <c r="E20" s="205"/>
      <c r="F20" s="209"/>
      <c r="G20" s="210"/>
    </row>
    <row r="21" spans="1:7" s="167" customFormat="1" ht="14.5">
      <c r="A21" s="221"/>
      <c r="B21" s="222"/>
      <c r="C21" s="223"/>
      <c r="D21" s="224"/>
      <c r="E21" s="225"/>
      <c r="F21" s="226"/>
      <c r="G21" s="227"/>
    </row>
    <row r="22" spans="1:7" s="167" customFormat="1" ht="13">
      <c r="A22" s="148"/>
      <c r="B22" s="149" t="s">
        <v>161</v>
      </c>
      <c r="C22" s="150"/>
      <c r="D22" s="150"/>
      <c r="E22" s="150"/>
      <c r="F22" s="175"/>
      <c r="G22" s="182"/>
    </row>
    <row r="23" spans="1:7" s="167" customFormat="1" ht="13">
      <c r="A23" s="544"/>
      <c r="B23" s="151" t="s">
        <v>162</v>
      </c>
      <c r="C23" s="535" t="s">
        <v>163</v>
      </c>
      <c r="D23" s="152" t="s">
        <v>164</v>
      </c>
      <c r="E23" s="535" t="s">
        <v>150</v>
      </c>
      <c r="F23" s="175"/>
      <c r="G23" s="182"/>
    </row>
    <row r="24" spans="1:7" s="167" customFormat="1" ht="13">
      <c r="A24" s="544"/>
      <c r="B24" s="153" t="s">
        <v>165</v>
      </c>
      <c r="C24" s="536"/>
      <c r="D24" s="154" t="s">
        <v>166</v>
      </c>
      <c r="E24" s="536"/>
      <c r="F24" s="175"/>
      <c r="G24" s="182"/>
    </row>
    <row r="25" spans="1:7" s="167" customFormat="1" ht="13">
      <c r="A25" s="148"/>
      <c r="B25" s="155">
        <v>18</v>
      </c>
      <c r="C25" s="156">
        <v>18</v>
      </c>
      <c r="D25" s="156"/>
      <c r="E25" s="156"/>
      <c r="F25" s="175"/>
      <c r="G25" s="182"/>
    </row>
    <row r="26" spans="1:7" s="167" customFormat="1" ht="13">
      <c r="A26" s="533"/>
      <c r="B26" s="533"/>
      <c r="C26"/>
      <c r="D26">
        <f>D25*E25</f>
        <v>0</v>
      </c>
      <c r="E26"/>
      <c r="F26" s="175"/>
      <c r="G26" s="182"/>
    </row>
    <row r="27" spans="1:7" s="167" customFormat="1" ht="13">
      <c r="A27" s="533"/>
      <c r="B27" s="533"/>
      <c r="C27"/>
      <c r="D27"/>
      <c r="E27"/>
      <c r="F27" s="175"/>
      <c r="G27" s="182"/>
    </row>
    <row r="28" spans="1:7" s="167" customFormat="1" ht="13">
      <c r="A28"/>
      <c r="B28" s="158" t="s">
        <v>167</v>
      </c>
      <c r="C28" s="159">
        <f>(B25-D26)/B25</f>
        <v>1</v>
      </c>
      <c r="D28" s="160"/>
      <c r="E28"/>
      <c r="F28" s="175"/>
      <c r="G28" s="182"/>
    </row>
  </sheetData>
  <mergeCells count="10">
    <mergeCell ref="A26:B26"/>
    <mergeCell ref="A27:B27"/>
    <mergeCell ref="A23:A24"/>
    <mergeCell ref="C23:C24"/>
    <mergeCell ref="E23:E24"/>
    <mergeCell ref="A1:A2"/>
    <mergeCell ref="B1:B2"/>
    <mergeCell ref="D1:D2"/>
    <mergeCell ref="F1:F2"/>
    <mergeCell ref="G1: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7446-E88E-49B5-B0F7-3B8B746CE3BC}">
  <sheetPr>
    <tabColor rgb="FF92D050"/>
  </sheetPr>
  <dimension ref="A1:G24"/>
  <sheetViews>
    <sheetView showGridLines="0" workbookViewId="0">
      <selection sqref="A1:XFD1048576"/>
    </sheetView>
  </sheetViews>
  <sheetFormatPr baseColWidth="10" defaultColWidth="11.453125" defaultRowHeight="12.5"/>
  <cols>
    <col min="1" max="1" width="5.08984375" style="148" bestFit="1" customWidth="1"/>
    <col min="2" max="2" width="18.26953125" customWidth="1"/>
    <col min="3" max="3" width="13.08984375" bestFit="1" customWidth="1"/>
    <col min="4" max="5" width="11.54296875" customWidth="1"/>
    <col min="6" max="6" width="14.81640625" bestFit="1" customWidth="1"/>
    <col min="7" max="7" width="11.5429687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s="211" customFormat="1" ht="14.5">
      <c r="A3" s="202">
        <v>1</v>
      </c>
      <c r="B3" s="219" t="s">
        <v>157</v>
      </c>
      <c r="C3" s="205">
        <v>45755</v>
      </c>
      <c r="D3" s="212"/>
      <c r="E3" s="214"/>
      <c r="F3" s="209"/>
      <c r="G3" s="210"/>
    </row>
    <row r="4" spans="1:7" s="211" customFormat="1" ht="14.5">
      <c r="A4" s="202">
        <v>2</v>
      </c>
      <c r="B4" s="219" t="s">
        <v>157</v>
      </c>
      <c r="C4" s="205"/>
      <c r="D4" s="205">
        <v>45755</v>
      </c>
      <c r="E4" s="214"/>
      <c r="F4" s="209"/>
      <c r="G4" s="210"/>
    </row>
    <row r="5" spans="1:7" s="211" customFormat="1" ht="14.5">
      <c r="A5" s="202">
        <v>3</v>
      </c>
      <c r="B5" s="234" t="s">
        <v>153</v>
      </c>
      <c r="C5" s="235">
        <v>45763</v>
      </c>
      <c r="D5" s="214"/>
      <c r="E5" s="212"/>
      <c r="F5" s="209"/>
      <c r="G5" s="210"/>
    </row>
    <row r="6" spans="1:7" s="211" customFormat="1" ht="14.5">
      <c r="A6" s="202">
        <v>4</v>
      </c>
      <c r="B6" s="234" t="s">
        <v>153</v>
      </c>
      <c r="C6" s="235"/>
      <c r="D6" s="235">
        <v>45763</v>
      </c>
      <c r="E6" s="212"/>
      <c r="F6" s="209"/>
      <c r="G6" s="210"/>
    </row>
    <row r="7" spans="1:7" s="236" customFormat="1" ht="14.5">
      <c r="A7" s="202">
        <v>5</v>
      </c>
      <c r="B7" s="217" t="s">
        <v>158</v>
      </c>
      <c r="C7" s="212">
        <v>45770</v>
      </c>
      <c r="D7" s="205"/>
      <c r="E7" s="204"/>
      <c r="F7" s="204"/>
      <c r="G7" s="202"/>
    </row>
    <row r="8" spans="1:7" s="236" customFormat="1" ht="14.5">
      <c r="A8" s="202">
        <v>6</v>
      </c>
      <c r="B8" s="217" t="s">
        <v>158</v>
      </c>
      <c r="C8" s="212"/>
      <c r="D8" s="212">
        <v>45770</v>
      </c>
      <c r="E8" s="204"/>
      <c r="F8" s="204"/>
      <c r="G8" s="202"/>
    </row>
    <row r="9" spans="1:7" s="236" customFormat="1" ht="14.5">
      <c r="A9" s="202">
        <v>7</v>
      </c>
      <c r="B9" s="207" t="s">
        <v>172</v>
      </c>
      <c r="C9" s="212"/>
      <c r="D9" s="208">
        <v>45762</v>
      </c>
      <c r="E9" s="204"/>
      <c r="F9" s="204"/>
      <c r="G9" s="202"/>
    </row>
    <row r="10" spans="1:7" s="236" customFormat="1" ht="14.5">
      <c r="A10" s="202">
        <v>8</v>
      </c>
      <c r="B10" s="207" t="s">
        <v>172</v>
      </c>
      <c r="C10" s="205"/>
      <c r="D10" s="205"/>
      <c r="E10" s="208">
        <v>45762</v>
      </c>
      <c r="F10" s="204"/>
      <c r="G10" s="202"/>
    </row>
    <row r="11" spans="1:7" s="236" customFormat="1" ht="14.5">
      <c r="A11" s="202">
        <v>9</v>
      </c>
      <c r="B11" s="207" t="s">
        <v>173</v>
      </c>
      <c r="C11" s="205"/>
      <c r="D11" s="208">
        <v>45775</v>
      </c>
      <c r="E11" s="208"/>
      <c r="F11" s="204"/>
      <c r="G11" s="202"/>
    </row>
    <row r="12" spans="1:7" s="211" customFormat="1" ht="14.5">
      <c r="A12" s="202">
        <v>10</v>
      </c>
      <c r="B12" s="207" t="s">
        <v>173</v>
      </c>
      <c r="C12" s="205"/>
      <c r="D12" s="208"/>
      <c r="E12" s="208">
        <v>45775</v>
      </c>
      <c r="F12" s="209"/>
      <c r="G12" s="210"/>
    </row>
    <row r="13" spans="1:7" s="211" customFormat="1" ht="14.5">
      <c r="A13" s="202">
        <v>11</v>
      </c>
      <c r="B13" s="207" t="s">
        <v>174</v>
      </c>
      <c r="C13" s="205"/>
      <c r="D13" s="208">
        <v>45751</v>
      </c>
      <c r="E13" s="208"/>
      <c r="F13" s="209"/>
      <c r="G13" s="210"/>
    </row>
    <row r="14" spans="1:7" s="211" customFormat="1" ht="14.5">
      <c r="A14" s="202">
        <v>12</v>
      </c>
      <c r="B14" s="207" t="s">
        <v>174</v>
      </c>
      <c r="C14" s="205"/>
      <c r="D14" s="208"/>
      <c r="E14" s="208">
        <v>45751</v>
      </c>
      <c r="F14" s="209"/>
      <c r="G14" s="210"/>
    </row>
    <row r="15" spans="1:7" s="211" customFormat="1" ht="14.5">
      <c r="A15" s="202">
        <v>13</v>
      </c>
      <c r="B15" s="219" t="s">
        <v>157</v>
      </c>
      <c r="C15" s="212"/>
      <c r="D15" s="205">
        <v>45766</v>
      </c>
      <c r="E15" s="205"/>
      <c r="F15" s="209"/>
      <c r="G15" s="210"/>
    </row>
    <row r="16" spans="1:7" s="211" customFormat="1" ht="14.5">
      <c r="A16" s="202">
        <v>14</v>
      </c>
      <c r="B16" s="219" t="s">
        <v>157</v>
      </c>
      <c r="C16" s="212"/>
      <c r="D16" s="208"/>
      <c r="E16" s="205">
        <v>45766</v>
      </c>
      <c r="F16" s="209"/>
      <c r="G16" s="210"/>
    </row>
    <row r="17" spans="1:7" s="167" customFormat="1" ht="14.5">
      <c r="A17" s="221"/>
      <c r="B17" s="222"/>
      <c r="C17" s="223"/>
      <c r="D17" s="224"/>
      <c r="E17" s="225"/>
      <c r="F17" s="226"/>
      <c r="G17" s="227"/>
    </row>
    <row r="18" spans="1:7" s="167" customFormat="1" ht="13">
      <c r="A18" s="148"/>
      <c r="B18" s="149" t="s">
        <v>161</v>
      </c>
      <c r="C18" s="150"/>
      <c r="D18" s="150"/>
      <c r="E18" s="150"/>
      <c r="F18" s="175"/>
      <c r="G18" s="182"/>
    </row>
    <row r="19" spans="1:7" s="167" customFormat="1" ht="13">
      <c r="A19" s="544"/>
      <c r="B19" s="151" t="s">
        <v>162</v>
      </c>
      <c r="C19" s="535" t="s">
        <v>163</v>
      </c>
      <c r="D19" s="152" t="s">
        <v>164</v>
      </c>
      <c r="E19" s="535" t="s">
        <v>150</v>
      </c>
      <c r="F19" s="175"/>
      <c r="G19" s="182"/>
    </row>
    <row r="20" spans="1:7" s="167" customFormat="1" ht="13">
      <c r="A20" s="544"/>
      <c r="B20" s="153" t="s">
        <v>165</v>
      </c>
      <c r="C20" s="536"/>
      <c r="D20" s="154" t="s">
        <v>166</v>
      </c>
      <c r="E20" s="536"/>
      <c r="F20" s="175"/>
      <c r="G20" s="182"/>
    </row>
    <row r="21" spans="1:7" s="167" customFormat="1" ht="13">
      <c r="A21" s="148"/>
      <c r="B21" s="155">
        <v>14</v>
      </c>
      <c r="C21" s="156">
        <v>14</v>
      </c>
      <c r="D21" s="156"/>
      <c r="E21" s="156"/>
      <c r="F21" s="175"/>
      <c r="G21" s="182"/>
    </row>
    <row r="22" spans="1:7" s="167" customFormat="1" ht="13">
      <c r="A22" s="533"/>
      <c r="B22" s="533"/>
      <c r="C22"/>
      <c r="D22">
        <f>D21*E21</f>
        <v>0</v>
      </c>
      <c r="E22"/>
      <c r="F22" s="175"/>
      <c r="G22" s="182"/>
    </row>
    <row r="23" spans="1:7" s="167" customFormat="1" ht="13">
      <c r="A23" s="533"/>
      <c r="B23" s="533"/>
      <c r="C23"/>
      <c r="D23"/>
      <c r="E23"/>
      <c r="F23" s="175"/>
      <c r="G23" s="182"/>
    </row>
    <row r="24" spans="1:7" s="167" customFormat="1" ht="13">
      <c r="A24"/>
      <c r="B24" s="158" t="s">
        <v>167</v>
      </c>
      <c r="C24" s="159">
        <f>(B21-D22)/B21</f>
        <v>1</v>
      </c>
      <c r="D24" s="160"/>
      <c r="E24"/>
      <c r="F24" s="175"/>
      <c r="G24" s="182"/>
    </row>
  </sheetData>
  <mergeCells count="10">
    <mergeCell ref="A19:A20"/>
    <mergeCell ref="C19:C20"/>
    <mergeCell ref="E19:E20"/>
    <mergeCell ref="A22:B22"/>
    <mergeCell ref="A23:B23"/>
    <mergeCell ref="A1:A2"/>
    <mergeCell ref="B1:B2"/>
    <mergeCell ref="D1:D2"/>
    <mergeCell ref="F1:F2"/>
    <mergeCell ref="G1:G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996B2-9AF1-4A59-ABF2-6D871FE57671}">
  <sheetPr>
    <tabColor rgb="FF92D050"/>
  </sheetPr>
  <dimension ref="A1:G18"/>
  <sheetViews>
    <sheetView showGridLines="0" workbookViewId="0">
      <selection activeCell="F19" sqref="F19"/>
    </sheetView>
  </sheetViews>
  <sheetFormatPr baseColWidth="10" defaultColWidth="11.453125" defaultRowHeight="12.5"/>
  <cols>
    <col min="1" max="1" width="5.08984375" style="148" bestFit="1" customWidth="1"/>
    <col min="2" max="2" width="18.26953125" customWidth="1"/>
    <col min="3" max="3" width="13.08984375" bestFit="1" customWidth="1"/>
    <col min="4" max="5" width="11.54296875" customWidth="1"/>
    <col min="6" max="6" width="14.81640625" bestFit="1" customWidth="1"/>
    <col min="7" max="7" width="11.5429687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s="211" customFormat="1" ht="14.5">
      <c r="A3" s="202">
        <v>1</v>
      </c>
      <c r="B3" s="219" t="s">
        <v>158</v>
      </c>
      <c r="C3" s="205"/>
      <c r="D3" s="212">
        <v>45779</v>
      </c>
      <c r="E3" s="214"/>
      <c r="F3" s="209"/>
      <c r="G3" s="210"/>
    </row>
    <row r="4" spans="1:7" s="211" customFormat="1" ht="14.5">
      <c r="A4" s="202">
        <v>2</v>
      </c>
      <c r="B4" s="219" t="s">
        <v>158</v>
      </c>
      <c r="C4" s="205"/>
      <c r="D4" s="212"/>
      <c r="E4" s="212">
        <v>45780</v>
      </c>
      <c r="F4" s="209"/>
      <c r="G4" s="210"/>
    </row>
    <row r="5" spans="1:7" s="211" customFormat="1" ht="94.5">
      <c r="A5" s="202">
        <v>3</v>
      </c>
      <c r="B5" s="219" t="s">
        <v>175</v>
      </c>
      <c r="C5" s="205">
        <v>45804</v>
      </c>
      <c r="D5" s="212"/>
      <c r="E5" s="214"/>
      <c r="F5" s="280" t="s">
        <v>201</v>
      </c>
      <c r="G5" s="239">
        <v>1</v>
      </c>
    </row>
    <row r="6" spans="1:7" s="211" customFormat="1" ht="14.5">
      <c r="A6" s="202">
        <v>4</v>
      </c>
      <c r="B6" s="219" t="s">
        <v>175</v>
      </c>
      <c r="C6" s="205"/>
      <c r="D6" s="212">
        <v>45805</v>
      </c>
      <c r="E6" s="214"/>
      <c r="F6" s="209"/>
      <c r="G6" s="210"/>
    </row>
    <row r="7" spans="1:7" s="211" customFormat="1" ht="14.5">
      <c r="A7" s="202">
        <v>5</v>
      </c>
      <c r="B7" s="219" t="s">
        <v>175</v>
      </c>
      <c r="C7" s="205"/>
      <c r="D7" s="212">
        <v>45806</v>
      </c>
      <c r="E7" s="214"/>
      <c r="F7" s="209"/>
      <c r="G7" s="210"/>
    </row>
    <row r="8" spans="1:7" s="211" customFormat="1" ht="14.5">
      <c r="A8" s="202">
        <v>6</v>
      </c>
      <c r="B8" s="219" t="s">
        <v>175</v>
      </c>
      <c r="C8" s="205"/>
      <c r="D8" s="212"/>
      <c r="E8" s="212">
        <v>45806</v>
      </c>
      <c r="F8" s="209"/>
      <c r="G8" s="210"/>
    </row>
    <row r="9" spans="1:7" s="236" customFormat="1" ht="14.5">
      <c r="A9" s="202">
        <v>7</v>
      </c>
      <c r="B9" s="219" t="s">
        <v>176</v>
      </c>
      <c r="C9" s="205">
        <v>45805</v>
      </c>
      <c r="D9" s="212"/>
      <c r="E9" s="214"/>
      <c r="F9" s="209"/>
      <c r="G9" s="210"/>
    </row>
    <row r="10" spans="1:7" s="236" customFormat="1" ht="14.5">
      <c r="A10" s="202">
        <v>8</v>
      </c>
      <c r="B10" s="219" t="s">
        <v>176</v>
      </c>
      <c r="C10" s="205"/>
      <c r="D10" s="212">
        <v>45806</v>
      </c>
      <c r="E10" s="214"/>
      <c r="F10" s="209"/>
      <c r="G10" s="210"/>
    </row>
    <row r="11" spans="1:7" s="167" customFormat="1" ht="14.5">
      <c r="A11" s="221"/>
      <c r="B11" s="222"/>
      <c r="C11" s="223"/>
      <c r="D11" s="224"/>
      <c r="E11" s="225"/>
      <c r="F11" s="226"/>
      <c r="G11" s="227"/>
    </row>
    <row r="12" spans="1:7" s="167" customFormat="1" ht="13">
      <c r="A12" s="148"/>
      <c r="B12" s="149" t="s">
        <v>161</v>
      </c>
      <c r="C12" s="150"/>
      <c r="D12" s="150"/>
      <c r="E12" s="150"/>
      <c r="F12" s="175"/>
      <c r="G12" s="182"/>
    </row>
    <row r="13" spans="1:7" s="167" customFormat="1" ht="13">
      <c r="A13" s="544"/>
      <c r="B13" s="151" t="s">
        <v>162</v>
      </c>
      <c r="C13" s="535" t="s">
        <v>163</v>
      </c>
      <c r="D13" s="152" t="s">
        <v>164</v>
      </c>
      <c r="E13" s="535" t="s">
        <v>150</v>
      </c>
      <c r="F13" s="175"/>
      <c r="G13" s="182"/>
    </row>
    <row r="14" spans="1:7" s="167" customFormat="1" ht="13">
      <c r="A14" s="544"/>
      <c r="B14" s="153" t="s">
        <v>165</v>
      </c>
      <c r="C14" s="536"/>
      <c r="D14" s="154" t="s">
        <v>166</v>
      </c>
      <c r="E14" s="536"/>
      <c r="F14" s="175"/>
      <c r="G14" s="182"/>
    </row>
    <row r="15" spans="1:7" s="167" customFormat="1" ht="13">
      <c r="A15" s="148"/>
      <c r="B15" s="155">
        <v>8</v>
      </c>
      <c r="C15" s="156">
        <v>7</v>
      </c>
      <c r="D15" s="156">
        <v>1</v>
      </c>
      <c r="E15" s="156">
        <v>1</v>
      </c>
      <c r="F15" s="175"/>
      <c r="G15" s="182"/>
    </row>
    <row r="16" spans="1:7" s="167" customFormat="1" ht="13">
      <c r="A16" s="533"/>
      <c r="B16" s="533"/>
      <c r="C16"/>
      <c r="D16">
        <f>D15*E15</f>
        <v>1</v>
      </c>
      <c r="E16"/>
      <c r="F16" s="175"/>
      <c r="G16" s="182"/>
    </row>
    <row r="17" spans="1:7" s="167" customFormat="1" ht="13">
      <c r="A17" s="533"/>
      <c r="B17" s="533"/>
      <c r="C17"/>
      <c r="D17"/>
      <c r="E17"/>
      <c r="F17" s="175"/>
      <c r="G17" s="182"/>
    </row>
    <row r="18" spans="1:7" s="167" customFormat="1" ht="13">
      <c r="A18"/>
      <c r="B18" s="158" t="s">
        <v>167</v>
      </c>
      <c r="C18" s="159">
        <f>(B15-D16)/B15</f>
        <v>0.875</v>
      </c>
      <c r="D18" s="160"/>
      <c r="E18"/>
      <c r="F18" s="175"/>
      <c r="G18" s="182"/>
    </row>
  </sheetData>
  <mergeCells count="10">
    <mergeCell ref="A17:B17"/>
    <mergeCell ref="A1:A2"/>
    <mergeCell ref="B1:B2"/>
    <mergeCell ref="D1:D2"/>
    <mergeCell ref="F1:F2"/>
    <mergeCell ref="G1:G2"/>
    <mergeCell ref="A16:B16"/>
    <mergeCell ref="A13:A14"/>
    <mergeCell ref="C13:C14"/>
    <mergeCell ref="E13:E14"/>
  </mergeCells>
  <phoneticPr fontId="4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208D-A98E-4599-9B5F-7E9793D21587}">
  <sheetPr>
    <tabColor rgb="FF92D050"/>
  </sheetPr>
  <dimension ref="A1:G25"/>
  <sheetViews>
    <sheetView showGridLines="0" topLeftCell="B1" zoomScale="112" workbookViewId="0">
      <selection activeCell="F11" sqref="F11"/>
    </sheetView>
  </sheetViews>
  <sheetFormatPr baseColWidth="10" defaultColWidth="11.453125" defaultRowHeight="12.5"/>
  <cols>
    <col min="1" max="1" width="5.08984375" style="148" bestFit="1" customWidth="1"/>
    <col min="2" max="2" width="23.453125" customWidth="1"/>
    <col min="3" max="3" width="13.08984375" bestFit="1" customWidth="1"/>
    <col min="4" max="5" width="11.54296875" customWidth="1"/>
    <col min="6" max="6" width="32.7265625" customWidth="1"/>
    <col min="7" max="7" width="11.5429687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s="211" customFormat="1" ht="87">
      <c r="A3" s="202">
        <v>1</v>
      </c>
      <c r="B3" s="202" t="s">
        <v>177</v>
      </c>
      <c r="C3" s="237">
        <v>45828</v>
      </c>
      <c r="D3" s="237"/>
      <c r="E3" s="237"/>
      <c r="F3" s="238" t="s">
        <v>205</v>
      </c>
      <c r="G3" s="239">
        <v>0.5</v>
      </c>
    </row>
    <row r="4" spans="1:7" s="211" customFormat="1" ht="14.5">
      <c r="A4" s="202">
        <v>2</v>
      </c>
      <c r="B4" s="202" t="s">
        <v>177</v>
      </c>
      <c r="C4" s="237"/>
      <c r="D4" s="237">
        <v>45828</v>
      </c>
      <c r="E4" s="237"/>
      <c r="F4" s="209"/>
      <c r="G4" s="210"/>
    </row>
    <row r="5" spans="1:7" s="211" customFormat="1" ht="14.5">
      <c r="A5" s="202">
        <v>3</v>
      </c>
      <c r="B5" s="202" t="s">
        <v>178</v>
      </c>
      <c r="C5" s="237">
        <v>45829</v>
      </c>
      <c r="D5" s="237"/>
      <c r="F5" s="209"/>
      <c r="G5" s="210"/>
    </row>
    <row r="6" spans="1:7" s="211" customFormat="1" ht="14.5">
      <c r="A6" s="202">
        <v>4</v>
      </c>
      <c r="B6" s="202" t="s">
        <v>178</v>
      </c>
      <c r="C6" s="237"/>
      <c r="D6" s="237"/>
      <c r="E6" s="237">
        <v>45829</v>
      </c>
      <c r="F6" s="209"/>
      <c r="G6" s="210"/>
    </row>
    <row r="7" spans="1:7" s="211" customFormat="1" ht="72.5">
      <c r="A7" s="202">
        <v>5</v>
      </c>
      <c r="B7" s="202" t="s">
        <v>179</v>
      </c>
      <c r="C7" s="237">
        <v>45829</v>
      </c>
      <c r="D7" s="237"/>
      <c r="F7" s="238" t="s">
        <v>184</v>
      </c>
      <c r="G7" s="239">
        <v>0.5</v>
      </c>
    </row>
    <row r="8" spans="1:7" s="211" customFormat="1" ht="14.5">
      <c r="A8" s="202">
        <v>6</v>
      </c>
      <c r="B8" s="202" t="s">
        <v>179</v>
      </c>
      <c r="C8" s="237"/>
      <c r="D8" s="237">
        <v>45829</v>
      </c>
      <c r="E8" s="237"/>
      <c r="F8" s="209"/>
      <c r="G8" s="210"/>
    </row>
    <row r="9" spans="1:7" s="211" customFormat="1" ht="14.5">
      <c r="A9" s="202">
        <v>7</v>
      </c>
      <c r="B9" s="202" t="s">
        <v>179</v>
      </c>
      <c r="C9" s="237"/>
      <c r="D9" s="237">
        <v>45831</v>
      </c>
      <c r="E9" s="237"/>
      <c r="F9" s="209"/>
      <c r="G9" s="210"/>
    </row>
    <row r="10" spans="1:7" s="211" customFormat="1" ht="14.5">
      <c r="A10" s="202">
        <v>8</v>
      </c>
      <c r="B10" s="202" t="s">
        <v>179</v>
      </c>
      <c r="C10" s="237"/>
      <c r="D10" s="237">
        <v>45832</v>
      </c>
      <c r="E10" s="237"/>
      <c r="F10" s="209"/>
      <c r="G10" s="210"/>
    </row>
    <row r="11" spans="1:7" s="211" customFormat="1" ht="14.5">
      <c r="A11" s="202">
        <v>9</v>
      </c>
      <c r="B11" s="202" t="s">
        <v>179</v>
      </c>
      <c r="C11" s="237"/>
      <c r="D11" s="237"/>
      <c r="E11" s="237">
        <v>45832</v>
      </c>
      <c r="F11" s="209"/>
      <c r="G11" s="210"/>
    </row>
    <row r="12" spans="1:7" s="211" customFormat="1" ht="72.5">
      <c r="A12" s="202">
        <v>10</v>
      </c>
      <c r="B12" s="202" t="s">
        <v>180</v>
      </c>
      <c r="C12" s="237">
        <v>45833</v>
      </c>
      <c r="D12" s="237"/>
      <c r="E12" s="237"/>
      <c r="F12" s="238" t="s">
        <v>206</v>
      </c>
      <c r="G12" s="239">
        <v>0.5</v>
      </c>
    </row>
    <row r="13" spans="1:7" s="211" customFormat="1" ht="14.5">
      <c r="A13" s="202">
        <v>11</v>
      </c>
      <c r="B13" s="202" t="s">
        <v>180</v>
      </c>
      <c r="C13" s="237"/>
      <c r="D13" s="237">
        <v>45834</v>
      </c>
      <c r="E13" s="237"/>
      <c r="F13" s="238"/>
      <c r="G13" s="210"/>
    </row>
    <row r="14" spans="1:7" s="211" customFormat="1" ht="14.5">
      <c r="A14" s="202">
        <v>12</v>
      </c>
      <c r="B14" s="202" t="s">
        <v>181</v>
      </c>
      <c r="C14" s="237">
        <v>45838</v>
      </c>
      <c r="D14" s="237"/>
      <c r="E14" s="237"/>
      <c r="F14" s="209"/>
      <c r="G14" s="210"/>
    </row>
    <row r="15" spans="1:7" s="211" customFormat="1" ht="14.5">
      <c r="A15" s="202">
        <v>13</v>
      </c>
      <c r="B15" s="202" t="s">
        <v>181</v>
      </c>
      <c r="C15" s="237"/>
      <c r="D15" s="237">
        <v>45838</v>
      </c>
      <c r="E15" s="237"/>
      <c r="F15" s="209"/>
      <c r="G15" s="210"/>
    </row>
    <row r="16" spans="1:7" s="211" customFormat="1" ht="14.5">
      <c r="A16" s="202">
        <v>14</v>
      </c>
      <c r="B16" s="202" t="s">
        <v>182</v>
      </c>
      <c r="C16" s="237">
        <v>45838</v>
      </c>
      <c r="D16" s="237"/>
      <c r="E16" s="237"/>
      <c r="F16" s="209"/>
      <c r="G16" s="210"/>
    </row>
    <row r="17" spans="1:7" s="211" customFormat="1" ht="14.5">
      <c r="A17" s="202">
        <v>15</v>
      </c>
      <c r="B17" s="202" t="s">
        <v>183</v>
      </c>
      <c r="C17" s="237"/>
      <c r="D17" s="237">
        <v>45834</v>
      </c>
      <c r="E17" s="237"/>
      <c r="F17" s="209"/>
      <c r="G17" s="210"/>
    </row>
    <row r="18" spans="1:7" s="236" customFormat="1" ht="14.5">
      <c r="A18" s="202">
        <v>16</v>
      </c>
      <c r="B18" s="202" t="s">
        <v>183</v>
      </c>
      <c r="C18" s="237"/>
      <c r="D18" s="237"/>
      <c r="E18" s="237">
        <v>45836</v>
      </c>
      <c r="F18" s="209"/>
      <c r="G18" s="210"/>
    </row>
    <row r="19" spans="1:7" s="167" customFormat="1" ht="13">
      <c r="A19" s="148"/>
      <c r="B19" s="149" t="s">
        <v>161</v>
      </c>
      <c r="C19" s="150"/>
      <c r="D19" s="150"/>
      <c r="E19" s="150"/>
      <c r="F19" s="175"/>
      <c r="G19" s="182"/>
    </row>
    <row r="20" spans="1:7" s="167" customFormat="1" ht="13">
      <c r="A20" s="544"/>
      <c r="B20" s="151" t="s">
        <v>162</v>
      </c>
      <c r="C20" s="535" t="s">
        <v>163</v>
      </c>
      <c r="D20" s="152" t="s">
        <v>164</v>
      </c>
      <c r="E20" s="535" t="s">
        <v>150</v>
      </c>
      <c r="F20" s="175"/>
      <c r="G20" s="182"/>
    </row>
    <row r="21" spans="1:7" s="167" customFormat="1" ht="13">
      <c r="A21" s="544"/>
      <c r="B21" s="153" t="s">
        <v>165</v>
      </c>
      <c r="C21" s="536"/>
      <c r="D21" s="154" t="s">
        <v>166</v>
      </c>
      <c r="E21" s="536"/>
      <c r="F21" s="175"/>
      <c r="G21" s="182"/>
    </row>
    <row r="22" spans="1:7" s="167" customFormat="1" ht="13">
      <c r="A22" s="148"/>
      <c r="B22" s="155">
        <v>16</v>
      </c>
      <c r="C22" s="156">
        <v>13</v>
      </c>
      <c r="D22" s="156">
        <v>3</v>
      </c>
      <c r="E22" s="156">
        <v>0.5</v>
      </c>
      <c r="F22" s="175"/>
      <c r="G22" s="182"/>
    </row>
    <row r="23" spans="1:7" s="167" customFormat="1" ht="13">
      <c r="A23" s="533"/>
      <c r="B23" s="533"/>
      <c r="C23"/>
      <c r="D23">
        <f>D22*E22</f>
        <v>1.5</v>
      </c>
      <c r="E23"/>
      <c r="F23" s="175"/>
      <c r="G23" s="182"/>
    </row>
    <row r="24" spans="1:7" s="167" customFormat="1" ht="13">
      <c r="A24" s="533"/>
      <c r="B24" s="533"/>
      <c r="C24"/>
      <c r="D24"/>
      <c r="E24"/>
      <c r="F24" s="175"/>
      <c r="G24" s="182"/>
    </row>
    <row r="25" spans="1:7" s="167" customFormat="1" ht="13">
      <c r="A25"/>
      <c r="B25" s="158" t="s">
        <v>167</v>
      </c>
      <c r="C25" s="159">
        <f>(B22-D23)/B22</f>
        <v>0.90625</v>
      </c>
      <c r="D25" s="160"/>
      <c r="E25"/>
      <c r="F25" s="175"/>
      <c r="G25" s="182"/>
    </row>
  </sheetData>
  <mergeCells count="10">
    <mergeCell ref="A1:A2"/>
    <mergeCell ref="B1:B2"/>
    <mergeCell ref="D1:D2"/>
    <mergeCell ref="F1:F2"/>
    <mergeCell ref="G1:G2"/>
    <mergeCell ref="A20:A21"/>
    <mergeCell ref="C20:C21"/>
    <mergeCell ref="E20:E21"/>
    <mergeCell ref="A23:B23"/>
    <mergeCell ref="A24:B24"/>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C49B-75B6-4188-8725-5E017D4BC7AF}">
  <sheetPr>
    <tabColor rgb="FF92D050"/>
  </sheetPr>
  <dimension ref="A1:G28"/>
  <sheetViews>
    <sheetView showGridLines="0" topLeftCell="A2" workbookViewId="0">
      <selection activeCell="F12" sqref="F12"/>
    </sheetView>
  </sheetViews>
  <sheetFormatPr baseColWidth="10" defaultColWidth="11.453125" defaultRowHeight="12.5"/>
  <cols>
    <col min="1" max="1" width="5.08984375" style="148" bestFit="1" customWidth="1"/>
    <col min="2" max="2" width="21.54296875" bestFit="1" customWidth="1"/>
    <col min="6" max="6" width="59.3632812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s="111" customFormat="1" ht="13">
      <c r="A3" s="186">
        <v>1</v>
      </c>
      <c r="B3" s="230" t="s">
        <v>177</v>
      </c>
      <c r="C3" s="241"/>
      <c r="D3" s="232">
        <v>45839</v>
      </c>
      <c r="E3" s="161"/>
      <c r="F3" s="189"/>
      <c r="G3" s="185"/>
    </row>
    <row r="4" spans="1:7" s="111" customFormat="1" ht="13">
      <c r="A4" s="186">
        <v>2</v>
      </c>
      <c r="B4" s="230" t="s">
        <v>177</v>
      </c>
      <c r="C4" s="241"/>
      <c r="D4" s="232">
        <v>45840</v>
      </c>
      <c r="E4" s="161"/>
      <c r="F4" s="189"/>
      <c r="G4" s="185"/>
    </row>
    <row r="5" spans="1:7" s="111" customFormat="1" ht="23">
      <c r="A5" s="186">
        <v>3</v>
      </c>
      <c r="B5" s="230" t="s">
        <v>177</v>
      </c>
      <c r="C5" s="183"/>
      <c r="D5" s="183"/>
      <c r="E5" s="232">
        <v>45840</v>
      </c>
      <c r="F5" s="245" t="s">
        <v>189</v>
      </c>
      <c r="G5" s="185">
        <v>1</v>
      </c>
    </row>
    <row r="6" spans="1:7" ht="13">
      <c r="A6" s="186">
        <v>4</v>
      </c>
      <c r="B6" s="240" t="s">
        <v>185</v>
      </c>
      <c r="C6" s="241">
        <v>45846</v>
      </c>
      <c r="D6" s="167"/>
      <c r="E6" s="187"/>
      <c r="F6" s="190"/>
      <c r="G6" s="166"/>
    </row>
    <row r="7" spans="1:7" ht="13">
      <c r="A7" s="186">
        <v>5</v>
      </c>
      <c r="B7" s="240" t="s">
        <v>185</v>
      </c>
      <c r="C7" s="241"/>
      <c r="D7" s="241">
        <v>45846</v>
      </c>
      <c r="E7" s="187"/>
      <c r="F7" s="191"/>
      <c r="G7" s="166"/>
    </row>
    <row r="8" spans="1:7" ht="13">
      <c r="A8" s="186">
        <v>6</v>
      </c>
      <c r="B8" s="240" t="s">
        <v>185</v>
      </c>
      <c r="C8" s="241"/>
      <c r="D8" s="241">
        <v>45846</v>
      </c>
      <c r="E8" s="187"/>
      <c r="F8" s="191"/>
      <c r="G8" s="166"/>
    </row>
    <row r="9" spans="1:7" ht="13">
      <c r="A9" s="186">
        <v>7</v>
      </c>
      <c r="B9" s="240" t="s">
        <v>186</v>
      </c>
      <c r="C9" s="241">
        <v>45859</v>
      </c>
      <c r="D9" s="241"/>
      <c r="E9" s="187"/>
      <c r="F9" s="191"/>
      <c r="G9" s="166"/>
    </row>
    <row r="10" spans="1:7" ht="13">
      <c r="A10" s="186">
        <v>8</v>
      </c>
      <c r="B10" s="240" t="s">
        <v>186</v>
      </c>
      <c r="C10" s="241"/>
      <c r="D10" s="244">
        <v>45860</v>
      </c>
      <c r="E10" s="187"/>
      <c r="F10" s="191"/>
      <c r="G10" s="166"/>
    </row>
    <row r="11" spans="1:7" s="111" customFormat="1" ht="13">
      <c r="A11" s="186">
        <v>9</v>
      </c>
      <c r="B11" s="230" t="s">
        <v>180</v>
      </c>
      <c r="C11" s="184"/>
      <c r="D11" s="232">
        <v>45861</v>
      </c>
      <c r="E11" s="232"/>
      <c r="F11" s="189"/>
      <c r="G11" s="185"/>
    </row>
    <row r="12" spans="1:7" s="111" customFormat="1" ht="69">
      <c r="A12" s="186">
        <v>10</v>
      </c>
      <c r="B12" s="230" t="s">
        <v>180</v>
      </c>
      <c r="C12" s="184"/>
      <c r="D12" s="183"/>
      <c r="E12" s="232">
        <v>45863</v>
      </c>
      <c r="F12" s="245" t="s">
        <v>188</v>
      </c>
      <c r="G12" s="185">
        <v>1</v>
      </c>
    </row>
    <row r="13" spans="1:7" s="111" customFormat="1" ht="13">
      <c r="A13" s="186">
        <v>11</v>
      </c>
      <c r="B13" s="240" t="s">
        <v>185</v>
      </c>
      <c r="C13" s="184"/>
      <c r="D13" s="232">
        <v>45863</v>
      </c>
      <c r="E13" s="232"/>
      <c r="F13" s="189"/>
      <c r="G13" s="185"/>
    </row>
    <row r="14" spans="1:7" s="111" customFormat="1" ht="13">
      <c r="A14" s="186">
        <v>12</v>
      </c>
      <c r="B14" s="240" t="s">
        <v>185</v>
      </c>
      <c r="C14" s="184"/>
      <c r="D14" s="232">
        <v>45864</v>
      </c>
      <c r="E14" s="232"/>
      <c r="F14" s="189"/>
      <c r="G14" s="185"/>
    </row>
    <row r="15" spans="1:7" ht="13">
      <c r="A15" s="186">
        <v>13</v>
      </c>
      <c r="B15" s="240" t="s">
        <v>185</v>
      </c>
      <c r="C15" s="167"/>
      <c r="D15" s="165"/>
      <c r="E15" s="241">
        <v>45864</v>
      </c>
      <c r="F15" s="188"/>
      <c r="G15" s="166"/>
    </row>
    <row r="16" spans="1:7" ht="13">
      <c r="A16" s="186">
        <v>14</v>
      </c>
      <c r="B16" s="230" t="s">
        <v>187</v>
      </c>
      <c r="C16" s="241">
        <v>45866</v>
      </c>
      <c r="D16" s="241"/>
      <c r="E16" s="187"/>
      <c r="F16" s="191"/>
      <c r="G16" s="166"/>
    </row>
    <row r="17" spans="1:7" ht="13">
      <c r="A17" s="186">
        <v>15</v>
      </c>
      <c r="B17" s="230" t="s">
        <v>187</v>
      </c>
      <c r="C17" s="183"/>
      <c r="D17" s="165"/>
      <c r="E17" s="241">
        <v>45868</v>
      </c>
      <c r="F17" s="188"/>
      <c r="G17" s="166"/>
    </row>
    <row r="18" spans="1:7" s="111" customFormat="1" ht="13">
      <c r="A18" s="186">
        <v>16</v>
      </c>
      <c r="B18" s="242" t="s">
        <v>175</v>
      </c>
      <c r="C18" s="241">
        <v>45869</v>
      </c>
      <c r="D18" s="243"/>
      <c r="E18" s="161"/>
      <c r="F18" s="189"/>
      <c r="G18" s="185"/>
    </row>
    <row r="19" spans="1:7" s="111" customFormat="1" ht="13">
      <c r="A19" s="186">
        <v>17</v>
      </c>
      <c r="B19" s="230" t="s">
        <v>175</v>
      </c>
      <c r="C19" s="241"/>
      <c r="D19" s="241">
        <v>45869</v>
      </c>
      <c r="E19" s="161"/>
      <c r="F19" s="189"/>
      <c r="G19" s="185"/>
    </row>
    <row r="20" spans="1:7" s="111" customFormat="1" ht="13">
      <c r="A20" s="186">
        <v>18</v>
      </c>
      <c r="B20" s="230"/>
      <c r="C20" s="241"/>
      <c r="D20" s="241">
        <v>45869</v>
      </c>
      <c r="E20" s="161"/>
      <c r="F20" s="189"/>
      <c r="G20" s="185"/>
    </row>
    <row r="21" spans="1:7" s="111" customFormat="1" ht="13">
      <c r="A21" s="246"/>
      <c r="B21" s="247"/>
      <c r="C21" s="248"/>
      <c r="D21" s="248"/>
      <c r="E21" s="249"/>
      <c r="F21" s="250"/>
      <c r="G21" s="251"/>
    </row>
    <row r="22" spans="1:7" s="167" customFormat="1" ht="13">
      <c r="A22" s="148"/>
      <c r="B22" s="149" t="s">
        <v>161</v>
      </c>
      <c r="C22" s="150"/>
      <c r="D22" s="150"/>
      <c r="E22" s="150"/>
      <c r="F22" s="175"/>
      <c r="G22" s="182"/>
    </row>
    <row r="23" spans="1:7" s="167" customFormat="1" ht="13">
      <c r="A23" s="544"/>
      <c r="B23" s="151" t="s">
        <v>162</v>
      </c>
      <c r="C23" s="535" t="s">
        <v>163</v>
      </c>
      <c r="D23" s="152" t="s">
        <v>164</v>
      </c>
      <c r="E23" s="535" t="s">
        <v>150</v>
      </c>
      <c r="F23" s="175"/>
      <c r="G23" s="182"/>
    </row>
    <row r="24" spans="1:7" s="167" customFormat="1" ht="13">
      <c r="A24" s="544"/>
      <c r="B24" s="153" t="s">
        <v>165</v>
      </c>
      <c r="C24" s="536"/>
      <c r="D24" s="154" t="s">
        <v>166</v>
      </c>
      <c r="E24" s="536"/>
      <c r="F24" s="175"/>
      <c r="G24" s="182"/>
    </row>
    <row r="25" spans="1:7" s="167" customFormat="1" ht="13">
      <c r="A25" s="148"/>
      <c r="B25" s="155">
        <v>18</v>
      </c>
      <c r="C25" s="156">
        <v>16</v>
      </c>
      <c r="D25" s="156">
        <v>2</v>
      </c>
      <c r="E25" s="156">
        <v>1</v>
      </c>
      <c r="F25" s="175"/>
      <c r="G25" s="182"/>
    </row>
    <row r="26" spans="1:7" s="167" customFormat="1" ht="13">
      <c r="A26" s="533"/>
      <c r="B26" s="533"/>
      <c r="C26"/>
      <c r="D26">
        <f>D25*E25</f>
        <v>2</v>
      </c>
      <c r="E26"/>
      <c r="F26" s="175"/>
      <c r="G26" s="182"/>
    </row>
    <row r="27" spans="1:7" s="167" customFormat="1" ht="13">
      <c r="A27" s="533"/>
      <c r="B27" s="533"/>
      <c r="C27"/>
      <c r="D27"/>
      <c r="E27"/>
      <c r="F27" s="175"/>
      <c r="G27" s="182"/>
    </row>
    <row r="28" spans="1:7" s="167" customFormat="1" ht="13">
      <c r="A28"/>
      <c r="B28" s="158" t="s">
        <v>167</v>
      </c>
      <c r="C28" s="159">
        <f>(B25-D26)/B25</f>
        <v>0.88888888888888884</v>
      </c>
      <c r="D28" s="160"/>
      <c r="E28"/>
      <c r="F28" s="175"/>
      <c r="G28" s="182"/>
    </row>
  </sheetData>
  <mergeCells count="10">
    <mergeCell ref="A27:B27"/>
    <mergeCell ref="A23:A24"/>
    <mergeCell ref="C23:C24"/>
    <mergeCell ref="E23:E24"/>
    <mergeCell ref="A26:B26"/>
    <mergeCell ref="A1:A2"/>
    <mergeCell ref="B1:B2"/>
    <mergeCell ref="D1:D2"/>
    <mergeCell ref="F1:F2"/>
    <mergeCell ref="G1:G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E356-8CC2-4158-8899-897CDE08039C}">
  <sheetPr>
    <tabColor rgb="FF92D050"/>
  </sheetPr>
  <dimension ref="A1:G34"/>
  <sheetViews>
    <sheetView showGridLines="0" topLeftCell="A23" workbookViewId="0">
      <selection activeCell="A25" sqref="A25:XFD36"/>
    </sheetView>
  </sheetViews>
  <sheetFormatPr baseColWidth="10" defaultColWidth="11.453125" defaultRowHeight="12.5"/>
  <cols>
    <col min="1" max="1" width="5.08984375" style="148" bestFit="1" customWidth="1"/>
    <col min="2" max="2" width="21.54296875" bestFit="1" customWidth="1"/>
    <col min="6" max="6" width="47.2695312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ht="13">
      <c r="A3" s="186">
        <v>1</v>
      </c>
      <c r="B3" s="256" t="s">
        <v>190</v>
      </c>
      <c r="C3" s="257">
        <v>45870</v>
      </c>
      <c r="D3" s="255"/>
      <c r="E3" s="161"/>
      <c r="F3" s="258"/>
      <c r="G3" s="185"/>
    </row>
    <row r="4" spans="1:7" ht="13">
      <c r="A4" s="186">
        <v>2</v>
      </c>
      <c r="B4" s="256" t="s">
        <v>175</v>
      </c>
      <c r="C4" s="257"/>
      <c r="D4" s="255">
        <v>45870</v>
      </c>
      <c r="E4" s="161"/>
      <c r="F4" s="258"/>
      <c r="G4" s="185"/>
    </row>
    <row r="5" spans="1:7" ht="13">
      <c r="A5" s="186">
        <v>3</v>
      </c>
      <c r="B5" s="256" t="s">
        <v>190</v>
      </c>
      <c r="C5" s="257"/>
      <c r="D5" s="255">
        <v>45870</v>
      </c>
      <c r="E5" s="255"/>
      <c r="F5" s="259"/>
      <c r="G5" s="185"/>
    </row>
    <row r="6" spans="1:7" ht="13">
      <c r="A6" s="186">
        <v>4</v>
      </c>
      <c r="B6" s="260" t="s">
        <v>174</v>
      </c>
      <c r="C6" s="257">
        <v>45873</v>
      </c>
      <c r="D6" s="253"/>
      <c r="E6" s="255"/>
      <c r="F6" s="261"/>
      <c r="G6" s="164"/>
    </row>
    <row r="7" spans="1:7" ht="13">
      <c r="A7" s="186">
        <v>5</v>
      </c>
      <c r="B7" s="260" t="s">
        <v>174</v>
      </c>
      <c r="C7" s="257"/>
      <c r="D7" s="257">
        <v>45873</v>
      </c>
      <c r="E7" s="255"/>
      <c r="F7" s="261"/>
      <c r="G7" s="164"/>
    </row>
    <row r="8" spans="1:7" s="111" customFormat="1" ht="13">
      <c r="A8" s="186">
        <v>6</v>
      </c>
      <c r="B8" s="260" t="s">
        <v>174</v>
      </c>
      <c r="C8" s="257"/>
      <c r="D8" s="257">
        <v>45874</v>
      </c>
      <c r="E8" s="255"/>
      <c r="F8" s="261"/>
      <c r="G8" s="164"/>
    </row>
    <row r="9" spans="1:7" s="111" customFormat="1" ht="13">
      <c r="A9" s="186">
        <v>7</v>
      </c>
      <c r="B9" s="260" t="s">
        <v>191</v>
      </c>
      <c r="C9" s="257"/>
      <c r="D9" s="257">
        <v>45874</v>
      </c>
      <c r="E9" s="255"/>
      <c r="F9" s="261"/>
      <c r="G9" s="164"/>
    </row>
    <row r="10" spans="1:7" ht="13">
      <c r="A10" s="186">
        <v>8</v>
      </c>
      <c r="B10" s="260" t="s">
        <v>191</v>
      </c>
      <c r="C10" s="257"/>
      <c r="D10" s="257"/>
      <c r="E10" s="257">
        <v>45874</v>
      </c>
      <c r="F10" s="261"/>
      <c r="G10" s="164"/>
    </row>
    <row r="11" spans="1:7" ht="13">
      <c r="A11" s="186">
        <v>9</v>
      </c>
      <c r="B11" s="256" t="s">
        <v>192</v>
      </c>
      <c r="C11" s="257">
        <v>45876</v>
      </c>
      <c r="D11" s="255"/>
      <c r="E11" s="255"/>
      <c r="F11" s="258"/>
      <c r="G11" s="185"/>
    </row>
    <row r="12" spans="1:7" ht="13">
      <c r="A12" s="186">
        <v>10</v>
      </c>
      <c r="B12" s="256" t="s">
        <v>192</v>
      </c>
      <c r="C12" s="257"/>
      <c r="D12" s="257">
        <v>45877</v>
      </c>
      <c r="E12" s="255"/>
      <c r="F12" s="259"/>
      <c r="G12" s="185"/>
    </row>
    <row r="13" spans="1:7" ht="13">
      <c r="A13" s="186">
        <v>11</v>
      </c>
      <c r="B13" s="260" t="s">
        <v>193</v>
      </c>
      <c r="C13" s="255">
        <v>45883</v>
      </c>
      <c r="D13" s="254"/>
      <c r="E13" s="255"/>
      <c r="F13" s="258"/>
      <c r="G13" s="185"/>
    </row>
    <row r="14" spans="1:7" ht="13">
      <c r="A14" s="186">
        <v>12</v>
      </c>
      <c r="B14" s="260" t="s">
        <v>193</v>
      </c>
      <c r="C14" s="257"/>
      <c r="D14" s="255">
        <v>45883</v>
      </c>
      <c r="E14" s="255"/>
      <c r="F14" s="258"/>
      <c r="G14" s="185"/>
    </row>
    <row r="15" spans="1:7" ht="13">
      <c r="A15" s="186">
        <v>13</v>
      </c>
      <c r="B15" s="260" t="s">
        <v>181</v>
      </c>
      <c r="C15" s="253"/>
      <c r="D15" s="255">
        <v>45887</v>
      </c>
      <c r="E15" s="257"/>
      <c r="F15" s="261"/>
      <c r="G15" s="164"/>
    </row>
    <row r="16" spans="1:7" ht="13">
      <c r="A16" s="186">
        <v>14</v>
      </c>
      <c r="B16" s="256" t="s">
        <v>193</v>
      </c>
      <c r="C16" s="257"/>
      <c r="D16" s="255">
        <v>45887</v>
      </c>
      <c r="E16" s="255"/>
      <c r="F16" s="261"/>
      <c r="G16" s="164"/>
    </row>
    <row r="17" spans="1:7" ht="13">
      <c r="A17" s="186">
        <v>15</v>
      </c>
      <c r="B17" s="256" t="s">
        <v>181</v>
      </c>
      <c r="C17" s="257"/>
      <c r="D17" s="255">
        <v>45888</v>
      </c>
      <c r="E17" s="257"/>
      <c r="F17" s="261"/>
      <c r="G17" s="164"/>
    </row>
    <row r="18" spans="1:7" ht="13">
      <c r="A18" s="186">
        <v>16</v>
      </c>
      <c r="B18" s="256" t="s">
        <v>194</v>
      </c>
      <c r="C18" s="257">
        <v>45889</v>
      </c>
      <c r="D18" s="257"/>
      <c r="E18" s="161"/>
      <c r="F18" s="258"/>
      <c r="G18" s="185"/>
    </row>
    <row r="19" spans="1:7" ht="13">
      <c r="A19" s="186">
        <v>17</v>
      </c>
      <c r="B19" s="256" t="s">
        <v>181</v>
      </c>
      <c r="C19" s="257"/>
      <c r="D19" s="257">
        <v>45892</v>
      </c>
      <c r="E19" s="161"/>
      <c r="F19" s="258"/>
      <c r="G19" s="185"/>
    </row>
    <row r="20" spans="1:7" ht="13">
      <c r="A20" s="186">
        <v>18</v>
      </c>
      <c r="B20" s="256" t="s">
        <v>194</v>
      </c>
      <c r="C20" s="257"/>
      <c r="D20" s="257">
        <v>45892</v>
      </c>
      <c r="E20" s="161"/>
      <c r="F20" s="258"/>
      <c r="G20" s="185"/>
    </row>
    <row r="21" spans="1:7" ht="13">
      <c r="A21" s="186">
        <v>19</v>
      </c>
      <c r="B21" s="256" t="s">
        <v>174</v>
      </c>
      <c r="C21" s="257"/>
      <c r="D21" s="257">
        <v>45894</v>
      </c>
      <c r="E21" s="161"/>
      <c r="F21" s="258"/>
      <c r="G21" s="185"/>
    </row>
    <row r="22" spans="1:7" ht="13">
      <c r="A22" s="186">
        <v>20</v>
      </c>
      <c r="B22" s="256" t="s">
        <v>174</v>
      </c>
      <c r="C22" s="257"/>
      <c r="D22" s="257"/>
      <c r="E22" s="252">
        <v>45895</v>
      </c>
      <c r="F22" s="258"/>
      <c r="G22" s="185"/>
    </row>
    <row r="23" spans="1:7" ht="39">
      <c r="A23" s="186">
        <v>21</v>
      </c>
      <c r="B23" s="256" t="s">
        <v>195</v>
      </c>
      <c r="C23" s="257">
        <v>45897</v>
      </c>
      <c r="D23" s="257"/>
      <c r="E23" s="161"/>
      <c r="F23" s="259" t="s">
        <v>196</v>
      </c>
      <c r="G23" s="185">
        <v>1</v>
      </c>
    </row>
    <row r="24" spans="1:7" ht="13">
      <c r="A24" s="186">
        <v>22</v>
      </c>
      <c r="B24" s="256" t="s">
        <v>195</v>
      </c>
      <c r="C24" s="257"/>
      <c r="D24" s="257">
        <v>45897</v>
      </c>
      <c r="E24" s="161"/>
      <c r="F24" s="258"/>
      <c r="G24" s="185"/>
    </row>
    <row r="25" spans="1:7" ht="13">
      <c r="A25" s="246"/>
      <c r="B25" s="247"/>
      <c r="C25" s="248"/>
      <c r="D25" s="248"/>
      <c r="E25" s="249"/>
      <c r="F25" s="250"/>
      <c r="G25" s="251"/>
    </row>
    <row r="26" spans="1:7" ht="13">
      <c r="A26" s="246"/>
      <c r="B26" s="247"/>
      <c r="C26" s="248"/>
      <c r="D26" s="248"/>
      <c r="E26" s="249"/>
      <c r="F26" s="250"/>
      <c r="G26" s="251"/>
    </row>
    <row r="27" spans="1:7" ht="13">
      <c r="A27" s="246"/>
      <c r="B27" s="247"/>
      <c r="C27" s="248"/>
      <c r="D27" s="248"/>
      <c r="E27" s="249"/>
      <c r="F27" s="250"/>
      <c r="G27" s="251"/>
    </row>
    <row r="28" spans="1:7" ht="13">
      <c r="B28" s="149" t="s">
        <v>161</v>
      </c>
      <c r="C28" s="150"/>
      <c r="D28" s="150"/>
      <c r="E28" s="150"/>
      <c r="F28" s="175"/>
      <c r="G28" s="182"/>
    </row>
    <row r="29" spans="1:7" ht="13">
      <c r="A29" s="544"/>
      <c r="B29" s="151" t="s">
        <v>162</v>
      </c>
      <c r="C29" s="535" t="s">
        <v>163</v>
      </c>
      <c r="D29" s="152" t="s">
        <v>164</v>
      </c>
      <c r="E29" s="535" t="s">
        <v>150</v>
      </c>
      <c r="F29" s="175"/>
      <c r="G29" s="182"/>
    </row>
    <row r="30" spans="1:7" ht="13">
      <c r="A30" s="544"/>
      <c r="B30" s="153" t="s">
        <v>165</v>
      </c>
      <c r="C30" s="536"/>
      <c r="D30" s="154" t="s">
        <v>166</v>
      </c>
      <c r="E30" s="536"/>
      <c r="F30" s="175"/>
      <c r="G30" s="182"/>
    </row>
    <row r="31" spans="1:7" ht="13">
      <c r="B31" s="155">
        <v>22</v>
      </c>
      <c r="C31" s="156">
        <v>21</v>
      </c>
      <c r="D31" s="156">
        <v>1</v>
      </c>
      <c r="E31" s="156">
        <v>1</v>
      </c>
      <c r="F31" s="175"/>
      <c r="G31" s="182"/>
    </row>
    <row r="32" spans="1:7" ht="13">
      <c r="A32" s="533"/>
      <c r="B32" s="533"/>
      <c r="D32">
        <f>D31*E31</f>
        <v>1</v>
      </c>
      <c r="F32" s="175"/>
      <c r="G32" s="182"/>
    </row>
    <row r="33" spans="1:7" ht="13">
      <c r="A33" s="533"/>
      <c r="B33" s="533"/>
      <c r="F33" s="175"/>
      <c r="G33" s="182"/>
    </row>
    <row r="34" spans="1:7" ht="13">
      <c r="A34"/>
      <c r="B34" s="158" t="s">
        <v>167</v>
      </c>
      <c r="C34" s="159">
        <f>(B31-D32)/B31</f>
        <v>0.95454545454545459</v>
      </c>
      <c r="D34" s="160"/>
      <c r="F34" s="175"/>
      <c r="G34" s="182"/>
    </row>
  </sheetData>
  <mergeCells count="10">
    <mergeCell ref="A1:A2"/>
    <mergeCell ref="B1:B2"/>
    <mergeCell ref="D1:D2"/>
    <mergeCell ref="F1:F2"/>
    <mergeCell ref="G1:G2"/>
    <mergeCell ref="A29:A30"/>
    <mergeCell ref="C29:C30"/>
    <mergeCell ref="E29:E30"/>
    <mergeCell ref="A32:B32"/>
    <mergeCell ref="A33:B33"/>
  </mergeCells>
  <phoneticPr fontId="5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F863-947B-4D74-B3D7-F5E30103AC5A}">
  <sheetPr>
    <tabColor rgb="FF92D050"/>
  </sheetPr>
  <dimension ref="A1:G35"/>
  <sheetViews>
    <sheetView showGridLines="0" workbookViewId="0">
      <selection sqref="A1:XFD1048576"/>
    </sheetView>
  </sheetViews>
  <sheetFormatPr baseColWidth="10" defaultColWidth="11.453125" defaultRowHeight="12.5"/>
  <cols>
    <col min="1" max="1" width="7" style="148" customWidth="1"/>
    <col min="2" max="2" width="21.54296875" bestFit="1" customWidth="1"/>
    <col min="3" max="5" width="12.26953125" bestFit="1" customWidth="1"/>
    <col min="6" max="6" width="40.54296875" customWidth="1"/>
  </cols>
  <sheetData>
    <row r="1" spans="1:7" ht="14.5">
      <c r="A1" s="542" t="s">
        <v>145</v>
      </c>
      <c r="B1" s="543" t="s">
        <v>146</v>
      </c>
      <c r="C1" s="201" t="s">
        <v>147</v>
      </c>
      <c r="D1" s="543" t="s">
        <v>148</v>
      </c>
      <c r="E1" s="201" t="s">
        <v>147</v>
      </c>
      <c r="F1" s="543" t="s">
        <v>149</v>
      </c>
      <c r="G1" s="542" t="s">
        <v>150</v>
      </c>
    </row>
    <row r="2" spans="1:7" ht="14.5">
      <c r="A2" s="542"/>
      <c r="B2" s="543"/>
      <c r="C2" s="201" t="s">
        <v>151</v>
      </c>
      <c r="D2" s="543"/>
      <c r="E2" s="201" t="s">
        <v>152</v>
      </c>
      <c r="F2" s="543"/>
      <c r="G2" s="542"/>
    </row>
    <row r="3" spans="1:7" ht="16">
      <c r="A3" s="262">
        <v>1</v>
      </c>
      <c r="B3" s="263" t="s">
        <v>171</v>
      </c>
      <c r="C3" s="264">
        <v>45909</v>
      </c>
      <c r="D3" s="265"/>
      <c r="E3" s="265"/>
      <c r="F3" s="266"/>
      <c r="G3" s="166"/>
    </row>
    <row r="4" spans="1:7" ht="52.5">
      <c r="A4" s="262">
        <v>2</v>
      </c>
      <c r="B4" s="263" t="s">
        <v>197</v>
      </c>
      <c r="C4" s="264">
        <v>45911</v>
      </c>
      <c r="D4" s="267"/>
      <c r="E4" s="265"/>
      <c r="F4" s="278" t="s">
        <v>200</v>
      </c>
      <c r="G4" s="279">
        <v>1</v>
      </c>
    </row>
    <row r="5" spans="1:7" ht="16">
      <c r="A5" s="262">
        <v>3</v>
      </c>
      <c r="B5" s="263" t="s">
        <v>198</v>
      </c>
      <c r="C5" s="264">
        <v>45919</v>
      </c>
      <c r="D5" s="267"/>
      <c r="E5" s="268"/>
      <c r="F5" s="266"/>
      <c r="G5" s="166"/>
    </row>
    <row r="6" spans="1:7" ht="16">
      <c r="A6" s="262">
        <v>4</v>
      </c>
      <c r="B6" s="263" t="s">
        <v>197</v>
      </c>
      <c r="C6" s="264">
        <v>45925</v>
      </c>
      <c r="D6" s="267"/>
      <c r="E6" s="268"/>
      <c r="F6" s="266"/>
      <c r="G6" s="166"/>
    </row>
    <row r="7" spans="1:7" ht="16">
      <c r="A7" s="262">
        <v>5</v>
      </c>
      <c r="B7" s="269" t="s">
        <v>181</v>
      </c>
      <c r="C7" s="267"/>
      <c r="D7" s="265"/>
      <c r="E7" s="270">
        <v>45906</v>
      </c>
      <c r="F7" s="266"/>
      <c r="G7" s="166"/>
    </row>
    <row r="8" spans="1:7" ht="16">
      <c r="A8" s="262">
        <v>6</v>
      </c>
      <c r="B8" s="271" t="s">
        <v>182</v>
      </c>
      <c r="C8" s="267"/>
      <c r="D8" s="267"/>
      <c r="E8" s="270">
        <v>45906</v>
      </c>
      <c r="F8" s="266"/>
      <c r="G8" s="166"/>
    </row>
    <row r="9" spans="1:7" ht="16">
      <c r="A9" s="262">
        <v>7</v>
      </c>
      <c r="B9" s="269" t="s">
        <v>186</v>
      </c>
      <c r="C9" s="267"/>
      <c r="D9" s="267"/>
      <c r="E9" s="270">
        <v>45908</v>
      </c>
      <c r="F9" s="266"/>
      <c r="G9" s="166"/>
    </row>
    <row r="10" spans="1:7" ht="16">
      <c r="A10" s="262">
        <v>8</v>
      </c>
      <c r="B10" s="272" t="s">
        <v>187</v>
      </c>
      <c r="C10" s="267"/>
      <c r="D10" s="267"/>
      <c r="E10" s="270">
        <v>45924</v>
      </c>
      <c r="F10" s="266"/>
      <c r="G10" s="166"/>
    </row>
    <row r="11" spans="1:7" ht="16">
      <c r="A11" s="262">
        <v>9</v>
      </c>
      <c r="B11" s="263" t="s">
        <v>175</v>
      </c>
      <c r="C11" s="267"/>
      <c r="D11" s="267"/>
      <c r="E11" s="264">
        <v>45929</v>
      </c>
      <c r="F11" s="266"/>
      <c r="G11" s="166"/>
    </row>
    <row r="12" spans="1:7" s="111" customFormat="1" ht="16">
      <c r="A12" s="262">
        <v>10</v>
      </c>
      <c r="B12" s="263" t="s">
        <v>199</v>
      </c>
      <c r="C12" s="267"/>
      <c r="D12" s="267"/>
      <c r="E12" s="273">
        <v>45930</v>
      </c>
      <c r="F12" s="274"/>
      <c r="G12" s="185"/>
    </row>
    <row r="13" spans="1:7" s="111" customFormat="1" ht="16">
      <c r="A13" s="262">
        <v>11</v>
      </c>
      <c r="B13" s="263" t="s">
        <v>197</v>
      </c>
      <c r="C13" s="267"/>
      <c r="D13" s="267"/>
      <c r="E13" s="273">
        <v>45923</v>
      </c>
      <c r="F13" s="274"/>
      <c r="G13" s="185"/>
    </row>
    <row r="14" spans="1:7" s="111" customFormat="1" ht="16">
      <c r="A14" s="262">
        <v>12</v>
      </c>
      <c r="B14" s="275" t="s">
        <v>198</v>
      </c>
      <c r="C14" s="267"/>
      <c r="D14" s="267"/>
      <c r="E14" s="276">
        <v>45923</v>
      </c>
      <c r="F14" s="274"/>
      <c r="G14" s="185"/>
    </row>
    <row r="15" spans="1:7" s="111" customFormat="1" ht="15.5">
      <c r="A15" s="262">
        <v>13</v>
      </c>
      <c r="B15" s="277" t="s">
        <v>190</v>
      </c>
      <c r="C15" s="267"/>
      <c r="D15" s="267">
        <v>45930</v>
      </c>
      <c r="E15" s="267"/>
      <c r="F15" s="274"/>
      <c r="G15" s="185"/>
    </row>
    <row r="16" spans="1:7" ht="16">
      <c r="A16" s="262">
        <v>14</v>
      </c>
      <c r="B16" s="263" t="s">
        <v>199</v>
      </c>
      <c r="C16" s="267"/>
      <c r="D16" s="264">
        <v>45929</v>
      </c>
      <c r="E16" s="267"/>
      <c r="F16" s="266"/>
      <c r="G16" s="166"/>
    </row>
    <row r="17" spans="1:7" ht="16">
      <c r="A17" s="262">
        <v>15</v>
      </c>
      <c r="B17" s="263" t="s">
        <v>175</v>
      </c>
      <c r="C17" s="183"/>
      <c r="D17" s="264">
        <v>45929</v>
      </c>
      <c r="E17" s="168"/>
      <c r="F17" s="188"/>
      <c r="G17" s="166"/>
    </row>
    <row r="18" spans="1:7" ht="16">
      <c r="A18" s="262">
        <v>16</v>
      </c>
      <c r="B18" s="263" t="s">
        <v>197</v>
      </c>
      <c r="C18" s="183"/>
      <c r="D18" s="264">
        <v>45928</v>
      </c>
      <c r="E18" s="183"/>
      <c r="F18" s="188"/>
      <c r="G18" s="166"/>
    </row>
    <row r="19" spans="1:7" ht="16">
      <c r="A19" s="262">
        <v>17</v>
      </c>
      <c r="B19" s="263" t="s">
        <v>171</v>
      </c>
      <c r="C19" s="183"/>
      <c r="D19" s="264">
        <v>45928</v>
      </c>
      <c r="E19" s="183"/>
      <c r="F19" s="188"/>
      <c r="G19" s="166"/>
    </row>
    <row r="20" spans="1:7" ht="16">
      <c r="A20" s="262">
        <v>18</v>
      </c>
      <c r="B20" s="263" t="s">
        <v>197</v>
      </c>
      <c r="C20" s="183"/>
      <c r="D20" s="276">
        <v>45923</v>
      </c>
      <c r="E20" s="183"/>
      <c r="G20" s="166"/>
    </row>
    <row r="21" spans="1:7" ht="16">
      <c r="A21" s="262">
        <v>19</v>
      </c>
      <c r="B21" s="263" t="s">
        <v>197</v>
      </c>
      <c r="C21" s="183"/>
      <c r="D21" s="276">
        <v>45918</v>
      </c>
      <c r="E21" s="183"/>
      <c r="F21" s="188"/>
      <c r="G21" s="166"/>
    </row>
    <row r="22" spans="1:7" ht="16">
      <c r="A22" s="262">
        <v>20</v>
      </c>
      <c r="B22" s="263" t="s">
        <v>171</v>
      </c>
      <c r="C22" s="183"/>
      <c r="D22" s="276">
        <v>45910</v>
      </c>
      <c r="E22" s="183"/>
      <c r="F22" s="188"/>
      <c r="G22" s="166"/>
    </row>
    <row r="23" spans="1:7" ht="16">
      <c r="A23" s="262">
        <v>21</v>
      </c>
      <c r="B23" s="269" t="s">
        <v>186</v>
      </c>
      <c r="C23" s="183"/>
      <c r="D23" s="276">
        <v>45908</v>
      </c>
      <c r="E23" s="183"/>
      <c r="F23" s="188"/>
      <c r="G23" s="166"/>
    </row>
    <row r="24" spans="1:7" ht="16">
      <c r="A24" s="262">
        <v>22</v>
      </c>
      <c r="B24" s="263" t="s">
        <v>199</v>
      </c>
      <c r="C24" s="183"/>
      <c r="D24" s="276">
        <v>45904</v>
      </c>
      <c r="E24" s="183"/>
      <c r="F24" s="188"/>
      <c r="G24" s="166"/>
    </row>
    <row r="25" spans="1:7" ht="16">
      <c r="A25" s="262">
        <v>23</v>
      </c>
      <c r="B25" s="269" t="s">
        <v>181</v>
      </c>
      <c r="C25" s="183"/>
      <c r="D25" s="276">
        <v>45902</v>
      </c>
      <c r="E25" s="183"/>
      <c r="F25" s="188"/>
      <c r="G25" s="166"/>
    </row>
    <row r="26" spans="1:7" ht="13">
      <c r="A26" s="246"/>
      <c r="B26" s="247"/>
      <c r="C26" s="248"/>
      <c r="D26" s="248"/>
      <c r="E26" s="249"/>
      <c r="F26" s="250"/>
      <c r="G26" s="251"/>
    </row>
    <row r="27" spans="1:7" ht="13">
      <c r="A27" s="246"/>
      <c r="B27" s="247"/>
      <c r="C27" s="248"/>
      <c r="D27" s="248"/>
      <c r="E27" s="249"/>
      <c r="F27" s="250"/>
      <c r="G27" s="251"/>
    </row>
    <row r="28" spans="1:7" ht="13">
      <c r="A28" s="246"/>
      <c r="B28" s="247"/>
      <c r="C28" s="248"/>
      <c r="D28" s="248"/>
      <c r="E28" s="249"/>
      <c r="F28" s="250"/>
      <c r="G28" s="251"/>
    </row>
    <row r="29" spans="1:7" ht="13">
      <c r="B29" s="149" t="s">
        <v>161</v>
      </c>
      <c r="C29" s="150"/>
      <c r="D29" s="150"/>
      <c r="E29" s="150"/>
      <c r="F29" s="175"/>
      <c r="G29" s="182"/>
    </row>
    <row r="30" spans="1:7" ht="13">
      <c r="A30" s="544"/>
      <c r="B30" s="151" t="s">
        <v>162</v>
      </c>
      <c r="C30" s="535" t="s">
        <v>163</v>
      </c>
      <c r="D30" s="152" t="s">
        <v>164</v>
      </c>
      <c r="E30" s="535" t="s">
        <v>150</v>
      </c>
      <c r="F30" s="175"/>
      <c r="G30" s="182"/>
    </row>
    <row r="31" spans="1:7" ht="13">
      <c r="A31" s="544"/>
      <c r="B31" s="153" t="s">
        <v>165</v>
      </c>
      <c r="C31" s="536"/>
      <c r="D31" s="154" t="s">
        <v>166</v>
      </c>
      <c r="E31" s="536"/>
      <c r="F31" s="175"/>
      <c r="G31" s="182"/>
    </row>
    <row r="32" spans="1:7" ht="13">
      <c r="B32" s="155">
        <v>23</v>
      </c>
      <c r="C32" s="156">
        <v>22</v>
      </c>
      <c r="D32" s="156">
        <v>1</v>
      </c>
      <c r="E32" s="156">
        <v>1</v>
      </c>
      <c r="F32" s="175"/>
      <c r="G32" s="182"/>
    </row>
    <row r="33" spans="1:7" ht="13">
      <c r="A33" s="533"/>
      <c r="B33" s="533"/>
      <c r="D33">
        <f>D32*E32</f>
        <v>1</v>
      </c>
      <c r="F33" s="175"/>
      <c r="G33" s="182"/>
    </row>
    <row r="34" spans="1:7" ht="13">
      <c r="A34" s="533"/>
      <c r="B34" s="533"/>
      <c r="F34" s="175"/>
      <c r="G34" s="182"/>
    </row>
    <row r="35" spans="1:7" ht="13">
      <c r="A35"/>
      <c r="B35" s="158" t="s">
        <v>167</v>
      </c>
      <c r="C35" s="159">
        <f>(B32-D33)/B32</f>
        <v>0.95652173913043481</v>
      </c>
      <c r="D35" s="160"/>
      <c r="F35" s="175"/>
      <c r="G35" s="182"/>
    </row>
  </sheetData>
  <mergeCells count="10">
    <mergeCell ref="F1:F2"/>
    <mergeCell ref="G1:G2"/>
    <mergeCell ref="E30:E31"/>
    <mergeCell ref="A33:B33"/>
    <mergeCell ref="A34:B34"/>
    <mergeCell ref="A1:A2"/>
    <mergeCell ref="B1:B2"/>
    <mergeCell ref="D1:D2"/>
    <mergeCell ref="A30:A31"/>
    <mergeCell ref="C30:C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8D96-F230-4761-8AF7-EB60B2124A6C}">
  <sheetPr>
    <tabColor rgb="FF92D050"/>
  </sheetPr>
  <dimension ref="A1:G37"/>
  <sheetViews>
    <sheetView showGridLines="0" workbookViewId="0">
      <selection sqref="A1:XFD1048576"/>
    </sheetView>
  </sheetViews>
  <sheetFormatPr baseColWidth="10" defaultColWidth="11.453125" defaultRowHeight="14.5"/>
  <cols>
    <col min="1" max="1" width="7" style="304" customWidth="1"/>
    <col min="2" max="2" width="25.81640625" style="287" bestFit="1" customWidth="1"/>
    <col min="3" max="5" width="12.26953125" style="287" bestFit="1" customWidth="1"/>
    <col min="6" max="6" width="40.54296875" style="287" customWidth="1"/>
    <col min="7" max="16384" width="11.453125" style="287"/>
  </cols>
  <sheetData>
    <row r="1" spans="1:7">
      <c r="A1" s="546" t="s">
        <v>145</v>
      </c>
      <c r="B1" s="547" t="s">
        <v>146</v>
      </c>
      <c r="C1" s="286" t="s">
        <v>147</v>
      </c>
      <c r="D1" s="547" t="s">
        <v>148</v>
      </c>
      <c r="E1" s="286" t="s">
        <v>147</v>
      </c>
      <c r="F1" s="547" t="s">
        <v>149</v>
      </c>
      <c r="G1" s="546" t="s">
        <v>150</v>
      </c>
    </row>
    <row r="2" spans="1:7">
      <c r="A2" s="546"/>
      <c r="B2" s="547"/>
      <c r="C2" s="286" t="s">
        <v>151</v>
      </c>
      <c r="D2" s="547"/>
      <c r="E2" s="286" t="s">
        <v>152</v>
      </c>
      <c r="F2" s="547"/>
      <c r="G2" s="546"/>
    </row>
    <row r="3" spans="1:7" s="321" customFormat="1">
      <c r="A3" s="296">
        <v>1</v>
      </c>
      <c r="B3" s="325" t="s">
        <v>190</v>
      </c>
      <c r="C3" s="322"/>
      <c r="D3" s="323"/>
      <c r="E3" s="324">
        <v>45931</v>
      </c>
      <c r="F3" s="320"/>
      <c r="G3" s="318"/>
    </row>
    <row r="4" spans="1:7" s="321" customFormat="1">
      <c r="A4" s="296">
        <v>2</v>
      </c>
      <c r="B4" s="292" t="s">
        <v>174</v>
      </c>
      <c r="C4" s="282">
        <v>45932</v>
      </c>
      <c r="D4" s="320"/>
      <c r="E4" s="320"/>
      <c r="F4" s="320"/>
      <c r="G4" s="318"/>
    </row>
    <row r="5" spans="1:7" s="321" customFormat="1">
      <c r="A5" s="296">
        <v>3</v>
      </c>
      <c r="B5" s="292" t="s">
        <v>174</v>
      </c>
      <c r="C5" s="319"/>
      <c r="D5" s="282">
        <v>45933</v>
      </c>
      <c r="E5" s="320"/>
      <c r="F5" s="320"/>
      <c r="G5" s="318"/>
    </row>
    <row r="6" spans="1:7">
      <c r="A6" s="296">
        <v>4</v>
      </c>
      <c r="B6" s="281" t="s">
        <v>216</v>
      </c>
      <c r="C6" s="284"/>
      <c r="D6" s="288"/>
      <c r="E6" s="288"/>
      <c r="F6" s="320"/>
      <c r="G6" s="290"/>
    </row>
    <row r="7" spans="1:7">
      <c r="A7" s="296">
        <v>5</v>
      </c>
      <c r="B7" s="292" t="s">
        <v>174</v>
      </c>
      <c r="C7" s="284"/>
      <c r="D7" s="282">
        <v>45933</v>
      </c>
      <c r="E7" s="288"/>
      <c r="F7" s="320"/>
      <c r="G7" s="291"/>
    </row>
    <row r="8" spans="1:7">
      <c r="A8" s="296">
        <v>6</v>
      </c>
      <c r="B8" s="281" t="s">
        <v>213</v>
      </c>
      <c r="C8" s="282">
        <v>45934</v>
      </c>
      <c r="D8" s="282"/>
      <c r="E8" s="283"/>
      <c r="F8" s="320"/>
      <c r="G8" s="290"/>
    </row>
    <row r="9" spans="1:7">
      <c r="A9" s="296">
        <v>7</v>
      </c>
      <c r="B9" s="281" t="s">
        <v>213</v>
      </c>
      <c r="C9" s="284"/>
      <c r="D9" s="282">
        <v>45936</v>
      </c>
      <c r="E9" s="283"/>
      <c r="F9" s="320"/>
      <c r="G9" s="290"/>
    </row>
    <row r="10" spans="1:7">
      <c r="A10" s="296">
        <v>8</v>
      </c>
      <c r="B10" s="292" t="s">
        <v>174</v>
      </c>
      <c r="C10" s="282"/>
      <c r="D10" s="282">
        <v>45936</v>
      </c>
      <c r="E10" s="282"/>
      <c r="F10" s="320"/>
      <c r="G10" s="290"/>
    </row>
    <row r="11" spans="1:7">
      <c r="A11" s="296">
        <v>9</v>
      </c>
      <c r="B11" s="292" t="s">
        <v>174</v>
      </c>
      <c r="C11" s="282"/>
      <c r="D11" s="282"/>
      <c r="E11" s="282">
        <v>45936</v>
      </c>
      <c r="F11" s="289"/>
      <c r="G11" s="290"/>
    </row>
    <row r="12" spans="1:7">
      <c r="A12" s="296">
        <v>10</v>
      </c>
      <c r="B12" s="293" t="s">
        <v>192</v>
      </c>
      <c r="C12" s="282"/>
      <c r="D12" s="294">
        <v>45939</v>
      </c>
      <c r="E12" s="282"/>
      <c r="F12" s="289"/>
      <c r="G12" s="290"/>
    </row>
    <row r="13" spans="1:7">
      <c r="A13" s="296">
        <v>11</v>
      </c>
      <c r="B13" s="293" t="s">
        <v>192</v>
      </c>
      <c r="C13" s="282"/>
      <c r="D13" s="282"/>
      <c r="E13" s="294">
        <v>45939</v>
      </c>
      <c r="F13" s="289"/>
      <c r="G13" s="290"/>
    </row>
    <row r="14" spans="1:7">
      <c r="A14" s="296">
        <v>12</v>
      </c>
      <c r="B14" s="281" t="s">
        <v>195</v>
      </c>
      <c r="C14" s="282"/>
      <c r="D14" s="294">
        <v>45940</v>
      </c>
      <c r="E14" s="284"/>
      <c r="F14" s="289"/>
      <c r="G14" s="290"/>
    </row>
    <row r="15" spans="1:7">
      <c r="A15" s="296">
        <v>13</v>
      </c>
      <c r="B15" s="281" t="s">
        <v>195</v>
      </c>
      <c r="C15" s="282"/>
      <c r="D15" s="282"/>
      <c r="E15" s="294">
        <v>45940</v>
      </c>
      <c r="F15" s="295"/>
      <c r="G15" s="296"/>
    </row>
    <row r="16" spans="1:7">
      <c r="A16" s="296">
        <v>14</v>
      </c>
      <c r="B16" s="297" t="s">
        <v>193</v>
      </c>
      <c r="C16" s="282"/>
      <c r="D16" s="285">
        <v>45941</v>
      </c>
      <c r="E16" s="294"/>
      <c r="F16" s="295"/>
      <c r="G16" s="296"/>
    </row>
    <row r="17" spans="1:7">
      <c r="A17" s="296">
        <v>15</v>
      </c>
      <c r="B17" s="297" t="s">
        <v>193</v>
      </c>
      <c r="C17" s="282"/>
      <c r="D17" s="282"/>
      <c r="E17" s="285">
        <v>45941</v>
      </c>
      <c r="F17" s="295"/>
      <c r="G17" s="296"/>
    </row>
    <row r="18" spans="1:7">
      <c r="A18" s="296">
        <v>16</v>
      </c>
      <c r="B18" s="281" t="s">
        <v>213</v>
      </c>
      <c r="D18" s="282">
        <v>45943</v>
      </c>
      <c r="E18" s="282"/>
      <c r="F18" s="295"/>
      <c r="G18" s="296"/>
    </row>
    <row r="19" spans="1:7">
      <c r="A19" s="296">
        <v>17</v>
      </c>
      <c r="B19" s="281" t="s">
        <v>171</v>
      </c>
      <c r="C19" s="282"/>
      <c r="D19" s="284"/>
      <c r="E19" s="282">
        <v>45953</v>
      </c>
      <c r="F19" s="289"/>
      <c r="G19" s="290"/>
    </row>
    <row r="20" spans="1:7">
      <c r="A20" s="296">
        <v>18</v>
      </c>
      <c r="B20" s="281" t="s">
        <v>171</v>
      </c>
      <c r="C20" s="282"/>
      <c r="D20" s="282">
        <v>45953</v>
      </c>
      <c r="E20" s="283"/>
      <c r="F20" s="289"/>
      <c r="G20" s="290"/>
    </row>
    <row r="21" spans="1:7">
      <c r="A21" s="296">
        <v>19</v>
      </c>
      <c r="B21" s="281" t="s">
        <v>215</v>
      </c>
      <c r="C21" s="282"/>
      <c r="D21" s="284"/>
      <c r="E21" s="282">
        <v>45953</v>
      </c>
      <c r="F21" s="289"/>
      <c r="G21" s="290"/>
    </row>
    <row r="22" spans="1:7">
      <c r="A22" s="296">
        <v>20</v>
      </c>
      <c r="B22" s="281" t="s">
        <v>197</v>
      </c>
      <c r="C22" s="282"/>
      <c r="D22" s="284"/>
      <c r="E22" s="285">
        <v>45950</v>
      </c>
      <c r="F22" s="289"/>
      <c r="G22" s="290"/>
    </row>
    <row r="23" spans="1:7">
      <c r="A23" s="296">
        <v>21</v>
      </c>
      <c r="B23" s="281" t="s">
        <v>197</v>
      </c>
      <c r="C23" s="282"/>
      <c r="D23" s="285">
        <v>45950</v>
      </c>
      <c r="E23" s="282"/>
      <c r="G23" s="290"/>
    </row>
    <row r="24" spans="1:7">
      <c r="A24" s="296">
        <v>22</v>
      </c>
      <c r="B24" s="281" t="s">
        <v>214</v>
      </c>
      <c r="C24" s="285">
        <v>45957</v>
      </c>
      <c r="D24" s="285"/>
      <c r="E24" s="282"/>
      <c r="F24" s="289"/>
      <c r="G24" s="290"/>
    </row>
    <row r="25" spans="1:7">
      <c r="A25" s="296">
        <v>23</v>
      </c>
      <c r="B25" s="281" t="s">
        <v>214</v>
      </c>
      <c r="C25" s="282"/>
      <c r="D25" s="285">
        <v>45958</v>
      </c>
      <c r="E25" s="282"/>
      <c r="F25" s="289"/>
      <c r="G25" s="290"/>
    </row>
    <row r="26" spans="1:7">
      <c r="A26" s="296">
        <v>24</v>
      </c>
      <c r="B26" s="281" t="s">
        <v>213</v>
      </c>
      <c r="C26" s="282"/>
      <c r="D26" s="282">
        <v>45960</v>
      </c>
      <c r="E26" s="282"/>
      <c r="F26" s="289"/>
      <c r="G26" s="290"/>
    </row>
    <row r="27" spans="1:7">
      <c r="A27" s="296">
        <v>25</v>
      </c>
      <c r="B27" s="281" t="s">
        <v>213</v>
      </c>
      <c r="C27" s="282"/>
      <c r="D27" s="285"/>
      <c r="E27" s="282">
        <v>45961</v>
      </c>
      <c r="F27" s="289"/>
      <c r="G27" s="290"/>
    </row>
    <row r="28" spans="1:7">
      <c r="A28" s="298"/>
      <c r="B28" s="299"/>
      <c r="C28" s="300"/>
      <c r="D28" s="300"/>
      <c r="E28" s="301"/>
      <c r="F28" s="302"/>
      <c r="G28" s="303"/>
    </row>
    <row r="29" spans="1:7">
      <c r="A29" s="298"/>
      <c r="B29" s="299"/>
      <c r="C29" s="300"/>
      <c r="D29" s="300"/>
      <c r="E29" s="301"/>
      <c r="F29" s="302"/>
      <c r="G29" s="303"/>
    </row>
    <row r="30" spans="1:7">
      <c r="A30" s="298"/>
      <c r="B30" s="299"/>
      <c r="C30" s="300"/>
      <c r="D30" s="300"/>
      <c r="E30" s="301"/>
      <c r="F30" s="302"/>
      <c r="G30" s="303"/>
    </row>
    <row r="31" spans="1:7">
      <c r="B31" s="305" t="s">
        <v>161</v>
      </c>
      <c r="C31" s="306"/>
      <c r="D31" s="306"/>
      <c r="E31" s="306"/>
      <c r="F31" s="307"/>
      <c r="G31" s="308"/>
    </row>
    <row r="32" spans="1:7">
      <c r="A32" s="548"/>
      <c r="B32" s="309" t="s">
        <v>162</v>
      </c>
      <c r="C32" s="549" t="s">
        <v>163</v>
      </c>
      <c r="D32" s="310" t="s">
        <v>164</v>
      </c>
      <c r="E32" s="549" t="s">
        <v>150</v>
      </c>
      <c r="F32" s="307"/>
      <c r="G32" s="308"/>
    </row>
    <row r="33" spans="1:7">
      <c r="A33" s="548"/>
      <c r="B33" s="311" t="s">
        <v>165</v>
      </c>
      <c r="C33" s="550"/>
      <c r="D33" s="312" t="s">
        <v>166</v>
      </c>
      <c r="E33" s="550"/>
      <c r="F33" s="307"/>
      <c r="G33" s="308"/>
    </row>
    <row r="34" spans="1:7">
      <c r="B34" s="313">
        <v>25</v>
      </c>
      <c r="C34" s="314">
        <v>25</v>
      </c>
      <c r="D34" s="314">
        <v>0</v>
      </c>
      <c r="E34" s="314"/>
      <c r="F34" s="307"/>
      <c r="G34" s="308"/>
    </row>
    <row r="35" spans="1:7">
      <c r="A35" s="545"/>
      <c r="B35" s="545"/>
      <c r="D35" s="287">
        <f>D34*E34</f>
        <v>0</v>
      </c>
      <c r="F35" s="307"/>
      <c r="G35" s="308"/>
    </row>
    <row r="36" spans="1:7">
      <c r="A36" s="545"/>
      <c r="B36" s="545"/>
      <c r="F36" s="307"/>
      <c r="G36" s="308"/>
    </row>
    <row r="37" spans="1:7">
      <c r="A37" s="287"/>
      <c r="B37" s="315" t="s">
        <v>167</v>
      </c>
      <c r="C37" s="316">
        <f>(B34-D35)/B34</f>
        <v>1</v>
      </c>
      <c r="D37" s="317"/>
      <c r="F37" s="307"/>
      <c r="G37" s="308"/>
    </row>
  </sheetData>
  <mergeCells count="10">
    <mergeCell ref="G1:G2"/>
    <mergeCell ref="A32:A33"/>
    <mergeCell ref="C32:C33"/>
    <mergeCell ref="E32:E33"/>
    <mergeCell ref="A35:B35"/>
    <mergeCell ref="A36:B36"/>
    <mergeCell ref="A1:A2"/>
    <mergeCell ref="B1:B2"/>
    <mergeCell ref="D1:D2"/>
    <mergeCell ref="F1:F2"/>
  </mergeCells>
  <phoneticPr fontId="64"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2AA2-089F-468A-8854-B50FF1BAD5F5}">
  <sheetPr>
    <tabColor rgb="FF92D050"/>
  </sheetPr>
  <dimension ref="A1:G23"/>
  <sheetViews>
    <sheetView showGridLines="0" workbookViewId="0">
      <selection sqref="A1:XFD1048576"/>
    </sheetView>
  </sheetViews>
  <sheetFormatPr baseColWidth="10" defaultColWidth="11.453125" defaultRowHeight="14.5"/>
  <cols>
    <col min="1" max="1" width="7" style="304" customWidth="1"/>
    <col min="2" max="2" width="25.81640625" style="287" bestFit="1" customWidth="1"/>
    <col min="3" max="5" width="12.26953125" style="287" bestFit="1" customWidth="1"/>
    <col min="6" max="6" width="40.54296875" style="287" customWidth="1"/>
    <col min="7" max="16384" width="11.453125" style="287"/>
  </cols>
  <sheetData>
    <row r="1" spans="1:7">
      <c r="A1" s="546" t="s">
        <v>145</v>
      </c>
      <c r="B1" s="547" t="s">
        <v>146</v>
      </c>
      <c r="C1" s="286" t="s">
        <v>147</v>
      </c>
      <c r="D1" s="547" t="s">
        <v>148</v>
      </c>
      <c r="E1" s="286" t="s">
        <v>147</v>
      </c>
      <c r="F1" s="547" t="s">
        <v>149</v>
      </c>
      <c r="G1" s="546" t="s">
        <v>150</v>
      </c>
    </row>
    <row r="2" spans="1:7">
      <c r="A2" s="546"/>
      <c r="B2" s="547"/>
      <c r="C2" s="286" t="s">
        <v>151</v>
      </c>
      <c r="D2" s="547"/>
      <c r="E2" s="286" t="s">
        <v>152</v>
      </c>
      <c r="F2" s="547"/>
      <c r="G2" s="546"/>
    </row>
    <row r="3" spans="1:7" s="321" customFormat="1">
      <c r="A3" s="296">
        <v>1</v>
      </c>
      <c r="B3" s="326" t="s">
        <v>217</v>
      </c>
      <c r="C3" s="327"/>
      <c r="D3" s="283"/>
      <c r="E3" s="327">
        <v>45965</v>
      </c>
      <c r="F3" s="320"/>
      <c r="G3" s="318"/>
    </row>
    <row r="4" spans="1:7" s="321" customFormat="1">
      <c r="A4" s="296">
        <v>3</v>
      </c>
      <c r="B4" s="326" t="s">
        <v>218</v>
      </c>
      <c r="C4" s="327">
        <v>45967</v>
      </c>
      <c r="D4" s="283"/>
      <c r="E4" s="327"/>
      <c r="F4" s="320"/>
      <c r="G4" s="318"/>
    </row>
    <row r="5" spans="1:7">
      <c r="A5" s="296">
        <v>4</v>
      </c>
      <c r="B5" s="326" t="s">
        <v>219</v>
      </c>
      <c r="C5" s="327">
        <v>45975</v>
      </c>
      <c r="D5" s="329"/>
      <c r="E5" s="329"/>
      <c r="F5" s="320"/>
      <c r="G5" s="290"/>
    </row>
    <row r="6" spans="1:7">
      <c r="A6" s="296">
        <v>5</v>
      </c>
      <c r="B6" s="328" t="s">
        <v>219</v>
      </c>
      <c r="C6" s="327"/>
      <c r="D6" s="327">
        <v>45981</v>
      </c>
      <c r="E6" s="329"/>
      <c r="F6" s="320"/>
      <c r="G6" s="290"/>
    </row>
    <row r="7" spans="1:7">
      <c r="A7" s="296">
        <v>6</v>
      </c>
      <c r="B7" s="328" t="s">
        <v>219</v>
      </c>
      <c r="C7" s="327"/>
      <c r="D7" s="329"/>
      <c r="E7" s="327">
        <v>45982</v>
      </c>
      <c r="F7" s="320"/>
      <c r="G7" s="290"/>
    </row>
    <row r="8" spans="1:7">
      <c r="A8" s="296">
        <v>7</v>
      </c>
      <c r="B8" s="326" t="s">
        <v>220</v>
      </c>
      <c r="C8" s="327">
        <v>45976</v>
      </c>
      <c r="D8" s="327"/>
      <c r="E8" s="327"/>
      <c r="F8" s="320"/>
      <c r="G8" s="291"/>
    </row>
    <row r="9" spans="1:7">
      <c r="A9" s="296">
        <v>8</v>
      </c>
      <c r="B9" s="326" t="s">
        <v>220</v>
      </c>
      <c r="C9" s="327"/>
      <c r="D9" s="327">
        <v>45978</v>
      </c>
      <c r="E9" s="327"/>
      <c r="F9" s="320"/>
      <c r="G9" s="291"/>
    </row>
    <row r="10" spans="1:7">
      <c r="A10" s="296">
        <v>9</v>
      </c>
      <c r="B10" s="326" t="s">
        <v>220</v>
      </c>
      <c r="C10" s="327"/>
      <c r="D10" s="327">
        <v>45988</v>
      </c>
      <c r="E10" s="327"/>
      <c r="F10" s="320"/>
      <c r="G10" s="291"/>
    </row>
    <row r="11" spans="1:7">
      <c r="A11" s="296">
        <v>10</v>
      </c>
      <c r="B11" s="326" t="s">
        <v>221</v>
      </c>
      <c r="C11" s="327">
        <v>45983</v>
      </c>
      <c r="D11" s="329"/>
      <c r="E11" s="329"/>
      <c r="F11" s="320"/>
      <c r="G11" s="290"/>
    </row>
    <row r="12" spans="1:7">
      <c r="A12" s="296">
        <v>11</v>
      </c>
      <c r="B12" s="326" t="s">
        <v>221</v>
      </c>
      <c r="C12" s="327"/>
      <c r="D12" s="330">
        <v>45990</v>
      </c>
      <c r="E12" s="329"/>
      <c r="F12" s="320"/>
      <c r="G12" s="290"/>
    </row>
    <row r="13" spans="1:7">
      <c r="A13" s="296">
        <v>12</v>
      </c>
      <c r="B13" s="326" t="s">
        <v>221</v>
      </c>
      <c r="C13" s="327"/>
      <c r="D13" s="329"/>
      <c r="E13" s="327">
        <v>45991</v>
      </c>
      <c r="F13" s="320"/>
      <c r="G13" s="290"/>
    </row>
    <row r="14" spans="1:7">
      <c r="A14" s="298"/>
      <c r="B14" s="299"/>
      <c r="C14" s="300"/>
      <c r="D14" s="300"/>
      <c r="E14" s="301"/>
      <c r="F14" s="302"/>
      <c r="G14" s="303"/>
    </row>
    <row r="15" spans="1:7">
      <c r="A15" s="298"/>
      <c r="B15" s="299"/>
      <c r="C15" s="300"/>
      <c r="D15" s="300"/>
      <c r="E15" s="301"/>
      <c r="F15" s="302"/>
      <c r="G15" s="303"/>
    </row>
    <row r="16" spans="1:7">
      <c r="A16" s="298"/>
      <c r="B16" s="299"/>
      <c r="C16" s="300"/>
      <c r="D16" s="300"/>
      <c r="E16" s="301"/>
      <c r="F16" s="302"/>
      <c r="G16" s="303"/>
    </row>
    <row r="17" spans="1:7">
      <c r="B17" s="305" t="s">
        <v>161</v>
      </c>
      <c r="C17" s="306"/>
      <c r="D17" s="306"/>
      <c r="E17" s="306"/>
      <c r="F17" s="307"/>
      <c r="G17" s="308"/>
    </row>
    <row r="18" spans="1:7">
      <c r="A18" s="548"/>
      <c r="B18" s="309" t="s">
        <v>162</v>
      </c>
      <c r="C18" s="549" t="s">
        <v>163</v>
      </c>
      <c r="D18" s="310" t="s">
        <v>164</v>
      </c>
      <c r="E18" s="549" t="s">
        <v>150</v>
      </c>
      <c r="F18" s="307"/>
      <c r="G18" s="308"/>
    </row>
    <row r="19" spans="1:7">
      <c r="A19" s="548"/>
      <c r="B19" s="311" t="s">
        <v>165</v>
      </c>
      <c r="C19" s="550"/>
      <c r="D19" s="312" t="s">
        <v>166</v>
      </c>
      <c r="E19" s="550"/>
      <c r="F19" s="307"/>
      <c r="G19" s="308"/>
    </row>
    <row r="20" spans="1:7">
      <c r="B20" s="313">
        <v>12</v>
      </c>
      <c r="C20" s="314">
        <v>12</v>
      </c>
      <c r="D20" s="314">
        <v>0</v>
      </c>
      <c r="E20" s="314"/>
      <c r="F20" s="307"/>
      <c r="G20" s="308"/>
    </row>
    <row r="21" spans="1:7">
      <c r="A21" s="545"/>
      <c r="B21" s="545"/>
      <c r="D21" s="287">
        <f>D20*E20</f>
        <v>0</v>
      </c>
      <c r="F21" s="307"/>
      <c r="G21" s="308"/>
    </row>
    <row r="22" spans="1:7">
      <c r="A22" s="545"/>
      <c r="B22" s="545"/>
      <c r="F22" s="307"/>
      <c r="G22" s="308"/>
    </row>
    <row r="23" spans="1:7">
      <c r="A23" s="287"/>
      <c r="B23" s="315" t="s">
        <v>167</v>
      </c>
      <c r="C23" s="316">
        <f>(B20-D21)/B20</f>
        <v>1</v>
      </c>
      <c r="D23" s="317"/>
      <c r="F23" s="307"/>
      <c r="G23" s="308"/>
    </row>
  </sheetData>
  <mergeCells count="10">
    <mergeCell ref="A18:A19"/>
    <mergeCell ref="C18:C19"/>
    <mergeCell ref="E18:E19"/>
    <mergeCell ref="A21:B21"/>
    <mergeCell ref="A22:B22"/>
    <mergeCell ref="A1:A2"/>
    <mergeCell ref="B1:B2"/>
    <mergeCell ref="D1:D2"/>
    <mergeCell ref="F1:F2"/>
    <mergeCell ref="G1:G2"/>
  </mergeCells>
  <phoneticPr fontId="64"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7A6F-D3E9-4C98-879E-907164982644}">
  <sheetPr>
    <tabColor rgb="FF92D050"/>
  </sheetPr>
  <dimension ref="A1:G23"/>
  <sheetViews>
    <sheetView showGridLines="0" tabSelected="1" workbookViewId="0">
      <selection activeCell="F20" sqref="F20"/>
    </sheetView>
  </sheetViews>
  <sheetFormatPr baseColWidth="10" defaultColWidth="11.453125" defaultRowHeight="14.5"/>
  <cols>
    <col min="1" max="1" width="7" style="304" customWidth="1"/>
    <col min="2" max="2" width="25.81640625" style="287" bestFit="1" customWidth="1"/>
    <col min="3" max="5" width="12.26953125" style="287" bestFit="1" customWidth="1"/>
    <col min="6" max="6" width="40.54296875" style="287" customWidth="1"/>
    <col min="7" max="16384" width="11.453125" style="287"/>
  </cols>
  <sheetData>
    <row r="1" spans="1:7">
      <c r="A1" s="546" t="s">
        <v>145</v>
      </c>
      <c r="B1" s="547" t="s">
        <v>146</v>
      </c>
      <c r="C1" s="286" t="s">
        <v>147</v>
      </c>
      <c r="D1" s="547" t="s">
        <v>148</v>
      </c>
      <c r="E1" s="286" t="s">
        <v>147</v>
      </c>
      <c r="F1" s="547" t="s">
        <v>149</v>
      </c>
      <c r="G1" s="546" t="s">
        <v>150</v>
      </c>
    </row>
    <row r="2" spans="1:7">
      <c r="A2" s="546"/>
      <c r="B2" s="547"/>
      <c r="C2" s="286" t="s">
        <v>151</v>
      </c>
      <c r="D2" s="547"/>
      <c r="E2" s="286" t="s">
        <v>152</v>
      </c>
      <c r="F2" s="547"/>
      <c r="G2" s="546"/>
    </row>
    <row r="3" spans="1:7" s="321" customFormat="1">
      <c r="A3" s="296">
        <v>1</v>
      </c>
      <c r="B3" s="326"/>
      <c r="C3" s="327"/>
      <c r="D3" s="283"/>
      <c r="E3" s="327"/>
      <c r="F3" s="320"/>
      <c r="G3" s="318"/>
    </row>
    <row r="4" spans="1:7" s="321" customFormat="1">
      <c r="A4" s="296">
        <v>3</v>
      </c>
      <c r="B4" s="326"/>
      <c r="C4" s="327"/>
      <c r="D4" s="283"/>
      <c r="E4" s="327"/>
      <c r="F4" s="320"/>
      <c r="G4" s="318"/>
    </row>
    <row r="5" spans="1:7">
      <c r="A5" s="296">
        <v>4</v>
      </c>
      <c r="B5" s="326"/>
      <c r="C5" s="327"/>
      <c r="D5" s="329"/>
      <c r="E5" s="329"/>
      <c r="F5" s="320"/>
      <c r="G5" s="290"/>
    </row>
    <row r="6" spans="1:7">
      <c r="A6" s="296">
        <v>5</v>
      </c>
      <c r="B6" s="328"/>
      <c r="C6" s="327"/>
      <c r="D6" s="327"/>
      <c r="E6" s="329"/>
      <c r="F6" s="320"/>
      <c r="G6" s="290"/>
    </row>
    <row r="7" spans="1:7">
      <c r="A7" s="296">
        <v>6</v>
      </c>
      <c r="B7" s="328"/>
      <c r="C7" s="327"/>
      <c r="D7" s="329"/>
      <c r="E7" s="327"/>
      <c r="F7" s="320"/>
      <c r="G7" s="290"/>
    </row>
    <row r="8" spans="1:7">
      <c r="A8" s="296">
        <v>7</v>
      </c>
      <c r="B8" s="326"/>
      <c r="C8" s="327"/>
      <c r="D8" s="327"/>
      <c r="E8" s="327"/>
      <c r="F8" s="320"/>
      <c r="G8" s="291"/>
    </row>
    <row r="9" spans="1:7">
      <c r="A9" s="296">
        <v>8</v>
      </c>
      <c r="B9" s="326"/>
      <c r="C9" s="327"/>
      <c r="D9" s="327"/>
      <c r="E9" s="327"/>
      <c r="F9" s="320"/>
      <c r="G9" s="291"/>
    </row>
    <row r="10" spans="1:7">
      <c r="A10" s="296">
        <v>9</v>
      </c>
      <c r="B10" s="326"/>
      <c r="C10" s="327"/>
      <c r="D10" s="327"/>
      <c r="E10" s="327"/>
      <c r="F10" s="320"/>
      <c r="G10" s="291"/>
    </row>
    <row r="11" spans="1:7">
      <c r="A11" s="296">
        <v>10</v>
      </c>
      <c r="B11" s="326"/>
      <c r="C11" s="327"/>
      <c r="D11" s="329"/>
      <c r="E11" s="329"/>
      <c r="F11" s="320"/>
      <c r="G11" s="290"/>
    </row>
    <row r="12" spans="1:7">
      <c r="A12" s="296">
        <v>11</v>
      </c>
      <c r="B12" s="326"/>
      <c r="C12" s="327"/>
      <c r="D12" s="330"/>
      <c r="E12" s="329"/>
      <c r="F12" s="320"/>
      <c r="G12" s="290"/>
    </row>
    <row r="13" spans="1:7">
      <c r="A13" s="296">
        <v>12</v>
      </c>
      <c r="B13" s="326"/>
      <c r="C13" s="327"/>
      <c r="D13" s="329"/>
      <c r="E13" s="327"/>
      <c r="F13" s="320"/>
      <c r="G13" s="290"/>
    </row>
    <row r="14" spans="1:7">
      <c r="A14" s="298"/>
      <c r="B14" s="299"/>
      <c r="C14" s="300"/>
      <c r="D14" s="300"/>
      <c r="E14" s="301"/>
      <c r="F14" s="302"/>
      <c r="G14" s="303"/>
    </row>
    <row r="15" spans="1:7">
      <c r="A15" s="298"/>
      <c r="B15" s="299"/>
      <c r="C15" s="300"/>
      <c r="D15" s="300"/>
      <c r="E15" s="301"/>
      <c r="F15" s="302"/>
      <c r="G15" s="303"/>
    </row>
    <row r="16" spans="1:7">
      <c r="A16" s="298"/>
      <c r="B16" s="299"/>
      <c r="C16" s="300"/>
      <c r="D16" s="300"/>
      <c r="E16" s="301"/>
      <c r="F16" s="302"/>
      <c r="G16" s="303"/>
    </row>
    <row r="17" spans="1:7">
      <c r="B17" s="305" t="s">
        <v>161</v>
      </c>
      <c r="C17" s="306"/>
      <c r="D17" s="306"/>
      <c r="E17" s="306"/>
      <c r="F17" s="307"/>
      <c r="G17" s="308"/>
    </row>
    <row r="18" spans="1:7">
      <c r="A18" s="548"/>
      <c r="B18" s="309" t="s">
        <v>162</v>
      </c>
      <c r="C18" s="549" t="s">
        <v>163</v>
      </c>
      <c r="D18" s="310" t="s">
        <v>164</v>
      </c>
      <c r="E18" s="549" t="s">
        <v>150</v>
      </c>
      <c r="F18" s="307"/>
      <c r="G18" s="308"/>
    </row>
    <row r="19" spans="1:7">
      <c r="A19" s="548"/>
      <c r="B19" s="311" t="s">
        <v>165</v>
      </c>
      <c r="C19" s="550"/>
      <c r="D19" s="312" t="s">
        <v>166</v>
      </c>
      <c r="E19" s="550"/>
      <c r="F19" s="307"/>
      <c r="G19" s="308"/>
    </row>
    <row r="20" spans="1:7">
      <c r="B20" s="313"/>
      <c r="C20" s="314"/>
      <c r="D20" s="314">
        <v>0</v>
      </c>
      <c r="E20" s="314"/>
      <c r="F20" s="307"/>
      <c r="G20" s="308"/>
    </row>
    <row r="21" spans="1:7">
      <c r="A21" s="545"/>
      <c r="B21" s="545"/>
      <c r="D21" s="287">
        <f>D20*E20</f>
        <v>0</v>
      </c>
      <c r="F21" s="307"/>
      <c r="G21" s="308"/>
    </row>
    <row r="22" spans="1:7">
      <c r="A22" s="545"/>
      <c r="B22" s="545"/>
      <c r="F22" s="307"/>
      <c r="G22" s="308"/>
    </row>
    <row r="23" spans="1:7">
      <c r="A23" s="287"/>
      <c r="B23" s="315" t="s">
        <v>167</v>
      </c>
      <c r="C23" s="316" t="e">
        <f>(B20-D21)/B20</f>
        <v>#DIV/0!</v>
      </c>
      <c r="D23" s="317"/>
      <c r="F23" s="307"/>
      <c r="G23" s="308"/>
    </row>
  </sheetData>
  <mergeCells count="10">
    <mergeCell ref="A21:B21"/>
    <mergeCell ref="A22:B22"/>
    <mergeCell ref="A1:A2"/>
    <mergeCell ref="B1:B2"/>
    <mergeCell ref="D1:D2"/>
    <mergeCell ref="F1:F2"/>
    <mergeCell ref="G1:G2"/>
    <mergeCell ref="A18:A19"/>
    <mergeCell ref="C18:C19"/>
    <mergeCell ref="E18:E1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059208197157644B01C2844AC97171D" ma:contentTypeVersion="19" ma:contentTypeDescription="Crear nuevo documento." ma:contentTypeScope="" ma:versionID="bc7cbb1fcb72d5f8b05e87c8ce859221">
  <xsd:schema xmlns:xsd="http://www.w3.org/2001/XMLSchema" xmlns:xs="http://www.w3.org/2001/XMLSchema" xmlns:p="http://schemas.microsoft.com/office/2006/metadata/properties" xmlns:ns1="http://schemas.microsoft.com/sharepoint/v3" xmlns:ns2="b1ba3065-7f0a-4415-ac29-a8c73a1cf533" xmlns:ns3="94718bc8-7c02-4167-9d55-3bfee31cf150" targetNamespace="http://schemas.microsoft.com/office/2006/metadata/properties" ma:root="true" ma:fieldsID="46a6125fa971abd06a31b704fa990b4c" ns1:_="" ns2:_="" ns3:_="">
    <xsd:import namespace="http://schemas.microsoft.com/sharepoint/v3"/>
    <xsd:import namespace="b1ba3065-7f0a-4415-ac29-a8c73a1cf533"/>
    <xsd:import namespace="94718bc8-7c02-4167-9d55-3bfee31cf15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Propiedades de la Directiva de cumplimiento unificado" ma:hidden="true" ma:internalName="_ip_UnifiedCompliancePolicyProperties">
      <xsd:simpleType>
        <xsd:restriction base="dms:Note"/>
      </xsd:simpleType>
    </xsd:element>
    <xsd:element name="_ip_UnifiedCompliancePolicyUIAction" ma:index="26"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ba3065-7f0a-4415-ac29-a8c73a1cf5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98999269-020c-4dd0-84de-6e6b95cd4d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18bc8-7c02-4167-9d55-3bfee31cf150"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c19bce89-9f07-49d5-9634-c72c59d4ca9b}" ma:internalName="TaxCatchAll" ma:showField="CatchAllData" ma:web="94718bc8-7c02-4167-9d55-3bfee31cf1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4718bc8-7c02-4167-9d55-3bfee31cf150" xsi:nil="true"/>
    <lcf76f155ced4ddcb4097134ff3c332f xmlns="b1ba3065-7f0a-4415-ac29-a8c73a1cf533">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16E778-7C30-4AA1-8B0E-F9066AAC1CEF}"/>
</file>

<file path=customXml/itemProps2.xml><?xml version="1.0" encoding="utf-8"?>
<ds:datastoreItem xmlns:ds="http://schemas.openxmlformats.org/officeDocument/2006/customXml" ds:itemID="{E40AA209-1459-4248-BF5B-575784B589B7}">
  <ds:schemaRefs>
    <ds:schemaRef ds:uri="http://schemas.microsoft.com/office/2006/metadata/properties"/>
    <ds:schemaRef ds:uri="http://schemas.microsoft.com/office/infopath/2007/PartnerControls"/>
    <ds:schemaRef ds:uri="2cda19dd-e05a-4216-9928-dde66945e473"/>
    <ds:schemaRef ds:uri="dd74fca9-f6ca-4613-9ed6-f04f800432bf"/>
  </ds:schemaRefs>
</ds:datastoreItem>
</file>

<file path=customXml/itemProps3.xml><?xml version="1.0" encoding="utf-8"?>
<ds:datastoreItem xmlns:ds="http://schemas.openxmlformats.org/officeDocument/2006/customXml" ds:itemID="{2B4546BD-C64A-451A-9113-BD7575B476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NORMALIZACION -MANIOBRAS</vt:lpstr>
      <vt:lpstr>BALANCE SCORE CARD -BSC</vt:lpstr>
      <vt:lpstr>PLANIFICACIÓN OBJETIVO</vt:lpstr>
      <vt:lpstr>Evidencia - Enero</vt:lpstr>
      <vt:lpstr>Evidencia - Febrero</vt:lpstr>
      <vt:lpstr>Evidencia - Marzo</vt:lpstr>
      <vt:lpstr>Evidencia - Abril</vt:lpstr>
      <vt:lpstr>Evidencia - Mayo</vt:lpstr>
      <vt:lpstr>Evidencia - Junio</vt:lpstr>
      <vt:lpstr>Evidencia - Julio</vt:lpstr>
      <vt:lpstr>Evidencia - Agosto</vt:lpstr>
      <vt:lpstr>Evidencia - Setiembre</vt:lpstr>
      <vt:lpstr>Evidencia - Octubre</vt:lpstr>
      <vt:lpstr>Evidencia - Noviembre</vt:lpstr>
      <vt:lpstr>Evidencia - Diciembre</vt:lpstr>
      <vt:lpstr>'BALANCE SCORE CARD -BSC'!Área_de_impresión</vt:lpstr>
      <vt:lpstr>'NORMALIZACION -MANIOBRAS'!Área_de_impresión</vt:lpstr>
      <vt:lpstr>'PLANIFICACIÓN OBJETIVO'!Área_de_impresión</vt:lpstr>
      <vt:lpstr>'PLANIFICACIÓN OBJETIVO'!Títulos_a_imprimir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SPC02-F03 - Normalizacion de Indicadores</dc:title>
  <dc:subject>SPC02-P03 - Definicion, Normalizacion y Reporte de Indicadores de Gestion</dc:subject>
  <dc:creator>Henry Cabanillas</dc:creator>
  <cp:keywords>Formato</cp:keywords>
  <dc:description/>
  <cp:lastModifiedBy>Mercedes Prado Barrantes</cp:lastModifiedBy>
  <cp:revision/>
  <dcterms:created xsi:type="dcterms:W3CDTF">2011-04-01T16:51:29Z</dcterms:created>
  <dcterms:modified xsi:type="dcterms:W3CDTF">2026-01-05T18:51:32Z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3f0ff520-bde6-42d2-b65f-8a94097f5cb3</vt:lpwstr>
  </property>
  <property fmtid="{D5CDD505-2E9C-101B-9397-08002B2CF9AE}" pid="3" name="ContentTypeId">
    <vt:lpwstr>0x0101005059208197157644B01C2844AC97171D</vt:lpwstr>
  </property>
  <property fmtid="{D5CDD505-2E9C-101B-9397-08002B2CF9AE}" pid="4" name="Order">
    <vt:r8>316000</vt:r8>
  </property>
  <property fmtid="{D5CDD505-2E9C-101B-9397-08002B2CF9AE}" pid="5" name="xd_ProgID">
    <vt:lpwstr/>
  </property>
  <property fmtid="{D5CDD505-2E9C-101B-9397-08002B2CF9AE}" pid="6" name="TemplateUrl">
    <vt:lpwstr/>
  </property>
  <property fmtid="{D5CDD505-2E9C-101B-9397-08002B2CF9AE}" pid="7" name="MediaServiceImageTags">
    <vt:lpwstr/>
  </property>
</Properties>
</file>